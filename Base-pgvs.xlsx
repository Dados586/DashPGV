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eactl.sharepoint.com/sites/CORSANSURFRO/Shared Documents/General/00 - Bancos de Dados/PERDAS/Modelagem/"/>
    </mc:Choice>
  </mc:AlternateContent>
  <xr:revisionPtr revIDLastSave="147" documentId="8_{4C714CDF-2355-4A37-8531-83125B98BFF2}" xr6:coauthVersionLast="47" xr6:coauthVersionMax="47" xr10:uidLastSave="{D0F5C892-6F81-4E25-B04A-ACCABECD833A}"/>
  <bookViews>
    <workbookView xWindow="38280" yWindow="6420" windowWidth="29040" windowHeight="15720" activeTab="1" xr2:uid="{91CBD3D6-64D3-493D-AEC8-BC84C76966EF}"/>
  </bookViews>
  <sheets>
    <sheet name="ITEM" sheetId="1" r:id="rId1"/>
    <sheet name="OBRAS" sheetId="4" r:id="rId2"/>
    <sheet name="BD" sheetId="2" state="hidden" r:id="rId3"/>
  </sheets>
  <externalReferences>
    <externalReference r:id="rId4"/>
    <externalReference r:id="rId5"/>
  </externalReferences>
  <definedNames>
    <definedName name="DadosExternos_1" localSheetId="1" hidden="1">OBRAS!$C$1:$O$4</definedName>
    <definedName name="Lista_Grau">[1]!Validacao[GRAU]</definedName>
    <definedName name="Lista_Itens">[1]!Validacao[ITEM]</definedName>
    <definedName name="Lista_Objetivo">[1]!Validacao[OBJETIVO]</definedName>
    <definedName name="Lista_ObraIndic">[1]!Validacao[OBRA INDICADA]</definedName>
    <definedName name="Lista_PEP">[1]!Validacao[PEP]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Q4" i="4"/>
  <c r="Q3" i="4"/>
  <c r="Q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7633F2-3FF7-4E60-AD36-967F65918E9F}" keepAlive="1" name="Consulta - resultados_detalhados" description="Conexão com a consulta 'resultados_detalhados' na pasta de trabalho." type="5" refreshedVersion="8" background="1" saveData="1">
    <dbPr connection="Provider=Microsoft.Mashup.OleDb.1;Data Source=$Workbook$;Location=resultados_detalhados;Extended Properties=&quot;&quot;" command="SELECT * FROM [resultados_detalhados]"/>
  </connection>
</connections>
</file>

<file path=xl/sharedStrings.xml><?xml version="1.0" encoding="utf-8"?>
<sst xmlns="http://schemas.openxmlformats.org/spreadsheetml/2006/main" count="252" uniqueCount="175">
  <si>
    <t>Obra</t>
  </si>
  <si>
    <t>Item</t>
  </si>
  <si>
    <t>Und.</t>
  </si>
  <si>
    <t>DN/CV/m³</t>
  </si>
  <si>
    <t>Qnt.</t>
  </si>
  <si>
    <t>Preço Unit</t>
  </si>
  <si>
    <t>Capex</t>
  </si>
  <si>
    <t>Objetivo</t>
  </si>
  <si>
    <t>PEP</t>
  </si>
  <si>
    <t>Ligações atingidas</t>
  </si>
  <si>
    <t>Setor</t>
  </si>
  <si>
    <t>Município</t>
  </si>
  <si>
    <t>Sigla</t>
  </si>
  <si>
    <t>ALECRIM</t>
  </si>
  <si>
    <t>ALEGRETE</t>
  </si>
  <si>
    <t>BARRA DO GUARITA</t>
  </si>
  <si>
    <t>BARRA DO QUARAI</t>
  </si>
  <si>
    <t>BOA VISTA DO BURICA</t>
  </si>
  <si>
    <t>BOM PROGRESSO</t>
  </si>
  <si>
    <t>BOSSOROCA</t>
  </si>
  <si>
    <t>BRAGA</t>
  </si>
  <si>
    <t>CACEQUI</t>
  </si>
  <si>
    <t>CAIBATE</t>
  </si>
  <si>
    <t>CAMPINA DAS MISSOES</t>
  </si>
  <si>
    <t>CAMPO NOVO</t>
  </si>
  <si>
    <t>CANDIDO GODOI</t>
  </si>
  <si>
    <t>CERRO LARGO</t>
  </si>
  <si>
    <t>CHIAPETTA</t>
  </si>
  <si>
    <t>CORONEL BICACO</t>
  </si>
  <si>
    <t>CRISSIUMAL</t>
  </si>
  <si>
    <t>DERRUBADAS</t>
  </si>
  <si>
    <t>DOM PEDRITO</t>
  </si>
  <si>
    <t>ENTRE IJUIS</t>
  </si>
  <si>
    <t>GIRUA</t>
  </si>
  <si>
    <t>GUARANI DAS MISSOES</t>
  </si>
  <si>
    <t>HORIZONTINA</t>
  </si>
  <si>
    <t>HUMAITA</t>
  </si>
  <si>
    <t>INDEPENDENCIA</t>
  </si>
  <si>
    <t>INHACORA</t>
  </si>
  <si>
    <t>ITAQUI</t>
  </si>
  <si>
    <t>JAGUARI</t>
  </si>
  <si>
    <t>MACAMBARA</t>
  </si>
  <si>
    <t>MANOEL VIANA</t>
  </si>
  <si>
    <t>MAURICIO CARDOSO</t>
  </si>
  <si>
    <t>MIRAGUAI</t>
  </si>
  <si>
    <t>NOVA ESPERANCA DO SUL</t>
  </si>
  <si>
    <t>PORTO LUCENA</t>
  </si>
  <si>
    <t>PORTO XAVIER</t>
  </si>
  <si>
    <t>QUARAI</t>
  </si>
  <si>
    <t>REDENTORA</t>
  </si>
  <si>
    <t>ROSARIO DO SUL</t>
  </si>
  <si>
    <t>SANTA ROSA</t>
  </si>
  <si>
    <t>SANTIAGO</t>
  </si>
  <si>
    <t>SANTO ANGELO</t>
  </si>
  <si>
    <t>SANTO ANTONIO DAS MISSOES</t>
  </si>
  <si>
    <t>SANTO AUGUSTO</t>
  </si>
  <si>
    <t>SANTO CRISTO</t>
  </si>
  <si>
    <t>SAO BORJA</t>
  </si>
  <si>
    <t>SAO FRANCISCO DE ASSIS</t>
  </si>
  <si>
    <t>SAO JOSE DO INHACORA</t>
  </si>
  <si>
    <t>SAO LUIZ GONZAGA</t>
  </si>
  <si>
    <t>SAO MARTINHO</t>
  </si>
  <si>
    <t>SAO MIGUEL DAS MISSOES</t>
  </si>
  <si>
    <t>SAO NICOLAU</t>
  </si>
  <si>
    <t>SAO VICENTE DO SUL</t>
  </si>
  <si>
    <t>SEDE NOVA</t>
  </si>
  <si>
    <t>TENENTE PORTELA</t>
  </si>
  <si>
    <t>TIRADENTES DO SUL</t>
  </si>
  <si>
    <t>TRES DE MAIO</t>
  </si>
  <si>
    <t>TRES PASSOS</t>
  </si>
  <si>
    <t>TUCUNDUVA</t>
  </si>
  <si>
    <t>TUPARENDI</t>
  </si>
  <si>
    <t>UNISTALDA</t>
  </si>
  <si>
    <t>VISTA GAUCHA</t>
  </si>
  <si>
    <t>ALE</t>
  </si>
  <si>
    <t>BOS</t>
  </si>
  <si>
    <t>BRA</t>
  </si>
  <si>
    <t>CAM</t>
  </si>
  <si>
    <t>DER</t>
  </si>
  <si>
    <t>HOR</t>
  </si>
  <si>
    <t>IND</t>
  </si>
  <si>
    <t>INH</t>
  </si>
  <si>
    <t>MIR</t>
  </si>
  <si>
    <t>QUA</t>
  </si>
  <si>
    <t>RED</t>
  </si>
  <si>
    <t>ALG</t>
  </si>
  <si>
    <t>CHP</t>
  </si>
  <si>
    <t>MAM</t>
  </si>
  <si>
    <t>BAG</t>
  </si>
  <si>
    <t>BQU</t>
  </si>
  <si>
    <t>BVB</t>
  </si>
  <si>
    <t>BOP</t>
  </si>
  <si>
    <t>CCQ</t>
  </si>
  <si>
    <t>CBT</t>
  </si>
  <si>
    <t>CNO</t>
  </si>
  <si>
    <t>CGO</t>
  </si>
  <si>
    <t>CLA</t>
  </si>
  <si>
    <t>CBI</t>
  </si>
  <si>
    <t>CRS</t>
  </si>
  <si>
    <t>DPE</t>
  </si>
  <si>
    <t>ECZ</t>
  </si>
  <si>
    <t>EIJI</t>
  </si>
  <si>
    <t>GMI</t>
  </si>
  <si>
    <t>SAU</t>
  </si>
  <si>
    <t>HMT</t>
  </si>
  <si>
    <t>ITQ</t>
  </si>
  <si>
    <t>JGI</t>
  </si>
  <si>
    <t>MVI</t>
  </si>
  <si>
    <t>DMC</t>
  </si>
  <si>
    <t>NES</t>
  </si>
  <si>
    <t>SAG</t>
  </si>
  <si>
    <t>SNO</t>
  </si>
  <si>
    <t>TPA</t>
  </si>
  <si>
    <t>PLU</t>
  </si>
  <si>
    <t>PXA</t>
  </si>
  <si>
    <t>SCR</t>
  </si>
  <si>
    <t>SFR</t>
  </si>
  <si>
    <t>SLU</t>
  </si>
  <si>
    <t>SMA</t>
  </si>
  <si>
    <t>SNI</t>
  </si>
  <si>
    <t>TPO</t>
  </si>
  <si>
    <t>VGA</t>
  </si>
  <si>
    <t>ROS</t>
  </si>
  <si>
    <t>SAR</t>
  </si>
  <si>
    <t>SNT</t>
  </si>
  <si>
    <t>SAM</t>
  </si>
  <si>
    <t>SBJ</t>
  </si>
  <si>
    <t>SJI</t>
  </si>
  <si>
    <t>SMM</t>
  </si>
  <si>
    <t>SVS</t>
  </si>
  <si>
    <t>TIR</t>
  </si>
  <si>
    <t>TRM</t>
  </si>
  <si>
    <t>TUC</t>
  </si>
  <si>
    <t>TDI</t>
  </si>
  <si>
    <t>UNS</t>
  </si>
  <si>
    <t>US_MAIUSCULA</t>
  </si>
  <si>
    <t>Rede</t>
  </si>
  <si>
    <t>m</t>
  </si>
  <si>
    <t>VRP</t>
  </si>
  <si>
    <t>Un</t>
  </si>
  <si>
    <t>Registro</t>
  </si>
  <si>
    <t>key_gis</t>
  </si>
  <si>
    <t>ID_Gems</t>
  </si>
  <si>
    <t>Descrição</t>
  </si>
  <si>
    <t>Ampliação de rede</t>
  </si>
  <si>
    <t>Instalação</t>
  </si>
  <si>
    <t xml:space="preserve"> Redução de Pressão</t>
  </si>
  <si>
    <t>Interligação</t>
  </si>
  <si>
    <t xml:space="preserve"> MicroSetorização</t>
  </si>
  <si>
    <t>80x150</t>
  </si>
  <si>
    <t>Zona</t>
  </si>
  <si>
    <t>CAPEX (R$)</t>
  </si>
  <si>
    <t>Redução Pressão (mca)</t>
  </si>
  <si>
    <t>% Redução Perdas</t>
  </si>
  <si>
    <t>Demanda (m³/d)</t>
  </si>
  <si>
    <t>Perda Evitada (m³/mês)</t>
  </si>
  <si>
    <t>R$ Evitados Água/ano</t>
  </si>
  <si>
    <t>Extensão (m)</t>
  </si>
  <si>
    <t>Vaz/ano as is</t>
  </si>
  <si>
    <t>Vaz/ano to be</t>
  </si>
  <si>
    <t>Vaz/ano evitado</t>
  </si>
  <si>
    <t>R$ Evitado Vaz/ano</t>
  </si>
  <si>
    <t>R$ Evitados/ano</t>
  </si>
  <si>
    <t>VPL</t>
  </si>
  <si>
    <t>Payback (anos)</t>
  </si>
  <si>
    <t>Reforoço de rede</t>
  </si>
  <si>
    <t>Fechar existente</t>
  </si>
  <si>
    <t>ALG_PRA-01-01</t>
  </si>
  <si>
    <t>PRA-01-01</t>
  </si>
  <si>
    <t>100x150</t>
  </si>
  <si>
    <t>ALG_VGR-01</t>
  </si>
  <si>
    <t>80x80</t>
  </si>
  <si>
    <t>VGR-01</t>
  </si>
  <si>
    <t>COH-01</t>
  </si>
  <si>
    <t>ALG_COH-01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</si>
</sst>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4" fontId="1" fillId="0" borderId="0" xfId="0" applyNumberFormat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3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theme="4"/>
          <bgColor rgb="FF0070C0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font>
        <b/>
        <i val="0"/>
        <color theme="0"/>
      </font>
      <fill>
        <patternFill>
          <bgColor rgb="FF000099"/>
        </patternFill>
      </fill>
    </dxf>
    <dxf>
      <font>
        <color rgb="FF0000FF"/>
      </font>
      <fill>
        <patternFill>
          <bgColor theme="0"/>
        </patternFill>
      </fill>
      <border>
        <bottom style="medium">
          <color auto="1"/>
        </bottom>
      </border>
    </dxf>
  </dxfs>
  <tableStyles count="2" defaultTableStyle="TableStyleMedium2" defaultPivotStyle="PivotStyleLight16">
    <tableStyle name="Estilo de Tabela 1" pivot="0" count="4" xr9:uid="{C442025C-ECC1-4FC0-A932-E8B8AF7A576C}">
      <tableStyleElement type="wholeTable" dxfId="52"/>
      <tableStyleElement type="headerRow" dxfId="51"/>
      <tableStyleElement type="firstRowStripe" dxfId="50"/>
      <tableStyleElement type="secondRowStripe" dxfId="49"/>
    </tableStyle>
    <tableStyle name="TableStyleMedium16 2" pivot="0" count="7" xr9:uid="{1E34CA16-B9A4-467E-A2C9-0985EAAD1D16}">
      <tableStyleElement type="wholeTable" dxfId="48"/>
      <tableStyleElement type="headerRow" dxfId="47"/>
      <tableStyleElement type="totalRow" dxfId="46"/>
      <tableStyleElement type="firstColumn" dxfId="45"/>
      <tableStyleElement type="lastColumn" dxfId="44"/>
      <tableStyleElement type="firstRowStripe" dxfId="43"/>
      <tableStyleElement type="firstColumnStripe" dxfId="42"/>
    </tableStyle>
  </tableStyles>
  <colors>
    <mruColors>
      <color rgb="FF000099"/>
      <color rgb="FF0000FF"/>
      <color rgb="FF1D00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geactl-my.sharepoint.com/personal/pedro_bandeira_corsan_com_br/Documents/Documents/MHS%20OESTE/3.3%20Tr&#234;s%20Passos/5%20-%20Modelagens/Caderno%20de%20Obras%20-%20TPA.xlsx" TargetMode="External"/><Relationship Id="rId1" Type="http://schemas.openxmlformats.org/officeDocument/2006/relationships/externalLinkPath" Target="https://aegeactl-my.sharepoint.com/personal/pedro_bandeira_corsan_com_br/Documents/Documents/MHS%20OESTE/3.3%20Tr&#234;s%20Passos/5%20-%20Modelagens/Caderno%20de%20Obras%20-%20TP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geactl-my.sharepoint.com/personal/pedro_bandeira_corsan_com_br/Documents/Documents/MH%20HIDR&#193;ULICOS%20OESTE/MH%20Vigente/1.1%20Alegrete/5%20-%20Modelagens/Caderno%20de%20Obras%20-%20ALG.xlsx" TargetMode="External"/><Relationship Id="rId1" Type="http://schemas.openxmlformats.org/officeDocument/2006/relationships/externalLinkPath" Target="https://aegeactl-my.sharepoint.com/personal/pedro_bandeira_corsan_com_br/Documents/Documents/MH%20HIDR&#193;ULICOS%20OESTE/MH%20Vigente/1.1%20Alegrete/5%20-%20Modelagens/Caderno%20de%20Obras%20-%20AL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s Geral"/>
      <sheetName val="Setor"/>
      <sheetName val="Composição- Itens"/>
      <sheetName val="Composição -Rede (2)"/>
      <sheetName val="TPA_OPE-01"/>
      <sheetName val="TPA_WEB-01"/>
      <sheetName val="TPA_ERV-01"/>
      <sheetName val="TPA_LOT-01"/>
      <sheetName val="TPA_ILM-01"/>
      <sheetName val="TPA_ILM-02"/>
      <sheetName val="TPA_ILM-03"/>
      <sheetName val="TPA_PDG-01"/>
      <sheetName val="TPA_PDG-02"/>
      <sheetName val="BD"/>
      <sheetName val="TPA_PDG-03"/>
      <sheetName val="Dados"/>
      <sheetName val="Dados Viabilidade"/>
      <sheetName val="DETALHAMENTO_PGVs"/>
      <sheetName val="RESUMO_PGVs"/>
      <sheetName val="PU"/>
      <sheetName val="Graficos"/>
      <sheetName val="Planilha2"/>
      <sheetName val="Payback"/>
      <sheetName val="Caderno de Obras - T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s Geral"/>
      <sheetName val="Setor"/>
      <sheetName val="Composição- Itens"/>
      <sheetName val="Composição -Rede (2)"/>
      <sheetName val="ALG_978"/>
      <sheetName val="BD"/>
      <sheetName val="Redes e Nós"/>
      <sheetName val="Dados Viabilidade"/>
      <sheetName val="DETALHAMENTO_PGVs"/>
      <sheetName val="RESUMO_PGVs"/>
      <sheetName val="DADOS_CIDADE"/>
      <sheetName val="aux_tir"/>
      <sheetName val="PU"/>
      <sheetName val="Graficos"/>
      <sheetName val="Planilha2"/>
      <sheetName val="Payb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E4B5A7E-8ECC-4507-939F-2931DD39A581}" autoFormatId="16" applyNumberFormats="0" applyBorderFormats="0" applyFontFormats="0" applyPatternFormats="0" applyAlignmentFormats="0" applyWidthHeightFormats="0">
  <queryTableRefresh nextId="19" unboundColumnsLeft="2" unboundColumnsRight="3">
    <queryTableFields count="18">
      <queryTableField id="15" dataBound="0" tableColumnId="28"/>
      <queryTableField id="14" dataBound="0" tableColumnId="27"/>
      <queryTableField id="1" name="Zona" tableColumnId="1"/>
      <queryTableField id="2" name="CAPEX (R$)" tableColumnId="2"/>
      <queryTableField id="3" name="Redução Pressão (mca)" tableColumnId="3"/>
      <queryTableField id="4" name="% Redução Perdas" tableColumnId="4"/>
      <queryTableField id="5" name="Demanda (m³/d)" tableColumnId="5"/>
      <queryTableField id="6" name="Perda Evitada (m³/mês)" tableColumnId="6"/>
      <queryTableField id="7" name="R$ Evitados Água/ano" tableColumnId="7"/>
      <queryTableField id="8" name="Extensão (m)" tableColumnId="8"/>
      <queryTableField id="9" name="Vaz/ano as is" tableColumnId="9"/>
      <queryTableField id="10" name="Vaz/ano to be" tableColumnId="10"/>
      <queryTableField id="11" name="Vaz/ano evitado" tableColumnId="11"/>
      <queryTableField id="12" name="R$ Evitado Vaz/ano" tableColumnId="12"/>
      <queryTableField id="13" name="R$ Evitados/ano" tableColumnId="13"/>
      <queryTableField id="16" dataBound="0" tableColumnId="29"/>
      <queryTableField id="17" dataBound="0" tableColumnId="30"/>
      <queryTableField id="18" dataBound="0" tableColumnId="3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F05F41-7236-43B1-9FBA-940CF51C2CBF}" name="BASE_PGV" displayName="BASE_PGV" ref="A1:P12" totalsRowShown="0" headerRowDxfId="41" dataDxfId="40">
  <autoFilter ref="A1:P12" xr:uid="{60F05F41-7236-43B1-9FBA-940CF51C2CBF}"/>
  <sortState xmlns:xlrd2="http://schemas.microsoft.com/office/spreadsheetml/2017/richdata2" ref="A2:P2">
    <sortCondition ref="C1:C2"/>
  </sortState>
  <tableColumns count="16">
    <tableColumn id="1" xr3:uid="{6395FB12-0EFD-4D0B-A476-8D27732FEB84}" name="Município" dataDxfId="14"/>
    <tableColumn id="20" xr3:uid="{A8425E0C-DC3F-4E6C-9B3A-896450FD2D00}" name="Sigla" dataDxfId="13"/>
    <tableColumn id="3" xr3:uid="{0156F017-2A9D-4881-B196-42524A81A799}" name="Obra" dataDxfId="12"/>
    <tableColumn id="19" xr3:uid="{1FD31C94-923F-46BE-91C7-112CBD5289E8}" name="ID_Gems" dataDxfId="11"/>
    <tableColumn id="4" xr3:uid="{CB394A4C-D3F2-4E86-8CB1-572D23FE4874}" name="Item" dataDxfId="10"/>
    <tableColumn id="5" xr3:uid="{5085A808-AD23-404D-87F5-C57A1A245BC8}" name="Und." dataDxfId="9"/>
    <tableColumn id="6" xr3:uid="{E0B93844-036B-4437-8ACF-1D0F341E2DBE}" name="DN/CV/m³" dataDxfId="8"/>
    <tableColumn id="7" xr3:uid="{60D901FB-BBFF-441F-A5A9-A49E4A89515A}" name="Qnt." dataDxfId="7"/>
    <tableColumn id="2" xr3:uid="{43FEFEF7-01F1-42EE-A0CE-B506B57F106C}" name="Descrição" dataDxfId="6"/>
    <tableColumn id="8" xr3:uid="{112FD797-E31E-47CA-B701-99DDCCAFADA4}" name="Preço Unit" dataDxfId="5"/>
    <tableColumn id="9" xr3:uid="{81904B76-27BF-498F-A2DF-0D6BDD477D0E}" name="Capex" dataDxfId="4"/>
    <tableColumn id="11" xr3:uid="{FFF0539F-B535-4A83-89CF-EDE4AA133271}" name="Objetivo" dataDxfId="3"/>
    <tableColumn id="12" xr3:uid="{D12CCF27-703A-42D1-AFF7-566967E27DEC}" name="PEP" dataDxfId="2"/>
    <tableColumn id="14" xr3:uid="{7366D131-EC61-43B4-9B3A-0A20D621C475}" name="Ligações atingidas" dataDxfId="1"/>
    <tableColumn id="15" xr3:uid="{5BD92682-5192-4418-A7D7-62EAAF18350C}" name="Setor" dataDxfId="0"/>
    <tableColumn id="18" xr3:uid="{50130FD3-8D44-4CB6-92FA-573E9D1F4EB7}" name="key_gis" dataDxfId="39">
      <calculatedColumnFormula>BASE_PGV[[#This Row],[Sigla]]&amp;"_"&amp;BASE_PGV[[#This Row],[ID_Gems]]</calculatedColumnFormula>
    </tableColumn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15DA68-77D3-4E87-A503-9278EBBCE674}" name="Resumo_PGVs" displayName="Resumo_PGVs" ref="A1:R4" tableType="queryTable" totalsRowShown="0" headerRowDxfId="38" dataDxfId="37">
  <autoFilter ref="A1:R4" xr:uid="{668DB4E1-DC76-4439-87AC-9826AF6848D2}"/>
  <tableColumns count="18">
    <tableColumn id="28" xr3:uid="{9B5C289E-1AD7-4467-BD8F-3F1BECC23305}" uniqueName="28" name="Município" queryTableFieldId="15" dataDxfId="30"/>
    <tableColumn id="27" xr3:uid="{C5023EFF-1D23-4055-82AF-35B23380EB4C}" uniqueName="27" name="Obra" queryTableFieldId="14" dataDxfId="27"/>
    <tableColumn id="1" xr3:uid="{BFB64A98-9677-4133-AD3E-79F64F76E451}" uniqueName="1" name="Zona" queryTableFieldId="1" dataDxfId="26"/>
    <tableColumn id="2" xr3:uid="{084CC0D9-D046-483F-B3AE-C29D80106DAE}" uniqueName="2" name="CAPEX (R$)" queryTableFieldId="2" dataDxfId="29"/>
    <tableColumn id="3" xr3:uid="{147B911B-E3AF-46FD-A25B-3518A709A32E}" uniqueName="3" name="Redução Pressão (mca)" queryTableFieldId="3" dataDxfId="25"/>
    <tableColumn id="4" xr3:uid="{B63D8906-AD0A-4466-8803-FAC5CEE862A9}" uniqueName="4" name="% Redução Perdas" queryTableFieldId="4" dataDxfId="24"/>
    <tableColumn id="5" xr3:uid="{6045C85D-C599-4B84-9D6A-ED443C334D7C}" uniqueName="5" name="Demanda (m³/d)" queryTableFieldId="5" dataDxfId="23"/>
    <tableColumn id="6" xr3:uid="{A12BAF1C-BDB7-4C33-913F-9D2C6DEBAAE8}" uniqueName="6" name="Perda Evitada (m³/mês)" queryTableFieldId="6" dataDxfId="22"/>
    <tableColumn id="7" xr3:uid="{0B132852-5F53-45C0-921E-967ECA055168}" uniqueName="7" name="R$ Evitados Água/ano" queryTableFieldId="7" dataDxfId="21"/>
    <tableColumn id="8" xr3:uid="{7BBA29A1-C7D0-47D2-8CF4-726D3B07C135}" uniqueName="8" name="Extensão (m)" queryTableFieldId="8" dataDxfId="20"/>
    <tableColumn id="9" xr3:uid="{E3F44D8B-0558-44E9-9AA4-2312B3BCA4DB}" uniqueName="9" name="Vaz/ano as is" queryTableFieldId="9" dataDxfId="19"/>
    <tableColumn id="10" xr3:uid="{2AD09439-BF1A-4AA2-B524-9F599312F510}" uniqueName="10" name="Vaz/ano to be" queryTableFieldId="10" dataDxfId="28"/>
    <tableColumn id="11" xr3:uid="{AC2E638A-A094-4670-B72E-49756ACCC83D}" uniqueName="11" name="Vaz/ano evitado" queryTableFieldId="11" dataDxfId="18"/>
    <tableColumn id="12" xr3:uid="{D6E6D90C-067E-4F2D-AEAC-A4E0FABD56BF}" uniqueName="12" name="R$ Evitado Vaz/ano" queryTableFieldId="12" dataDxfId="17"/>
    <tableColumn id="13" xr3:uid="{40C28688-D8A9-40FD-A93C-925BBD2DE0E2}" uniqueName="13" name="R$ Evitados/ano" queryTableFieldId="13" dataDxfId="16"/>
    <tableColumn id="29" xr3:uid="{8570A3C5-A45D-4CC2-9EDD-15F098F53FFC}" uniqueName="29" name="VPL" queryTableFieldId="16" dataDxfId="15"/>
    <tableColumn id="30" xr3:uid="{182FF76C-D0C4-4A42-8C97-D10F04B771B5}" uniqueName="30" name="TIR" queryTableFieldId="17" dataDxfId="36">
      <calculatedColumnFormula>[2]!Resumo_PGVs[[#This Row],[CAPEX (R$)]]/[2]!Resumo_PGVs[[#This Row],[R$ Evitados/ano]]</calculatedColumnFormula>
    </tableColumn>
    <tableColumn id="31" xr3:uid="{E39459AC-385B-4E24-8DD2-67C43E53B377}" uniqueName="31" name="Payback (anos)" queryTableFieldId="18" dataDxfId="35"/>
  </tableColumns>
  <tableStyleInfo name="Estilo de Tabe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6AC27-BED9-4DA1-AE63-BB61736C122B}" name="Tabela3" displayName="Tabela3" ref="A1:B62" totalsRowShown="0" headerRowDxfId="34" dataDxfId="33">
  <autoFilter ref="A1:B62" xr:uid="{4106AC27-BED9-4DA1-AE63-BB61736C122B}"/>
  <tableColumns count="2">
    <tableColumn id="1" xr3:uid="{A4CD0AE5-BC64-4C83-A62D-560E348F1CE5}" name="US_MAIUSCULA" dataDxfId="32"/>
    <tableColumn id="2" xr3:uid="{30170D84-4C3A-4DA2-885D-F06A7CF3248E}" name="Sigla" dataDxfId="31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90B7-4060-4BF3-8240-E65E71409FA6}">
  <sheetPr>
    <tabColor rgb="FF000099"/>
  </sheetPr>
  <dimension ref="A1:P62"/>
  <sheetViews>
    <sheetView showGridLines="0" workbookViewId="0">
      <selection activeCell="C18" sqref="C18"/>
    </sheetView>
  </sheetViews>
  <sheetFormatPr defaultRowHeight="20" customHeight="1" x14ac:dyDescent="0.35"/>
  <cols>
    <col min="1" max="1" width="24.08984375" style="2" customWidth="1"/>
    <col min="2" max="2" width="18.81640625" style="2" customWidth="1"/>
    <col min="3" max="3" width="15.7265625" style="2" customWidth="1"/>
    <col min="4" max="5" width="8.7265625" style="2"/>
    <col min="6" max="6" width="11.1796875" style="2" customWidth="1"/>
    <col min="7" max="7" width="17.7265625" style="2" customWidth="1"/>
    <col min="8" max="8" width="20.90625" style="2" customWidth="1"/>
    <col min="9" max="9" width="17.81640625" style="2" bestFit="1" customWidth="1"/>
    <col min="10" max="10" width="17.81640625" style="4" bestFit="1" customWidth="1"/>
    <col min="11" max="11" width="21.453125" style="4" customWidth="1"/>
    <col min="12" max="12" width="17.7265625" style="2" customWidth="1"/>
    <col min="13" max="13" width="21.81640625" style="2" customWidth="1"/>
    <col min="14" max="14" width="11.36328125" style="2" bestFit="1" customWidth="1"/>
    <col min="15" max="15" width="10.7265625" style="2" customWidth="1"/>
    <col min="16" max="16" width="16.6328125" style="2" customWidth="1"/>
    <col min="17" max="16384" width="8.7265625" style="3"/>
  </cols>
  <sheetData>
    <row r="1" spans="1:16" ht="40" customHeight="1" x14ac:dyDescent="0.35">
      <c r="A1" s="2" t="s">
        <v>11</v>
      </c>
      <c r="B1" s="2" t="s">
        <v>12</v>
      </c>
      <c r="C1" s="2" t="s">
        <v>0</v>
      </c>
      <c r="D1" s="2" t="s">
        <v>142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143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141</v>
      </c>
    </row>
    <row r="2" spans="1:16" ht="25" customHeight="1" x14ac:dyDescent="0.35">
      <c r="A2" s="2" t="s">
        <v>14</v>
      </c>
      <c r="B2" s="2" t="s">
        <v>85</v>
      </c>
      <c r="C2" s="2" t="s">
        <v>167</v>
      </c>
      <c r="D2" s="2">
        <v>460884</v>
      </c>
      <c r="E2" s="2" t="s">
        <v>136</v>
      </c>
      <c r="F2" s="2" t="s">
        <v>137</v>
      </c>
      <c r="G2" s="2">
        <v>150</v>
      </c>
      <c r="H2" s="2">
        <v>435</v>
      </c>
      <c r="I2" s="2" t="s">
        <v>165</v>
      </c>
      <c r="J2" s="4">
        <v>191.72039806796855</v>
      </c>
      <c r="K2" s="4">
        <v>83398.373159566312</v>
      </c>
      <c r="L2" s="2" t="s">
        <v>144</v>
      </c>
      <c r="M2" s="2">
        <v>21</v>
      </c>
      <c r="N2" s="2">
        <v>0</v>
      </c>
      <c r="O2" s="2" t="s">
        <v>168</v>
      </c>
      <c r="P2" s="14" t="str">
        <f>BASE_PGV[[#This Row],[Sigla]]&amp;"_"&amp;BASE_PGV[[#This Row],[ID_Gems]]</f>
        <v>ALG_460884</v>
      </c>
    </row>
    <row r="3" spans="1:16" ht="25" customHeight="1" x14ac:dyDescent="0.35">
      <c r="A3" s="2" t="s">
        <v>14</v>
      </c>
      <c r="B3" s="2" t="s">
        <v>85</v>
      </c>
      <c r="C3" s="2" t="s">
        <v>167</v>
      </c>
      <c r="D3" s="2">
        <v>644411</v>
      </c>
      <c r="E3" s="2" t="s">
        <v>136</v>
      </c>
      <c r="F3" s="2" t="s">
        <v>137</v>
      </c>
      <c r="G3" s="2">
        <v>50</v>
      </c>
      <c r="H3" s="2">
        <v>15</v>
      </c>
      <c r="I3" s="2" t="s">
        <v>147</v>
      </c>
      <c r="J3" s="4">
        <v>118.00619297510761</v>
      </c>
      <c r="K3" s="4">
        <v>2500</v>
      </c>
      <c r="L3" s="2" t="s">
        <v>144</v>
      </c>
      <c r="M3" s="2">
        <v>21</v>
      </c>
      <c r="N3" s="2">
        <v>0</v>
      </c>
      <c r="O3" s="2" t="s">
        <v>168</v>
      </c>
      <c r="P3" s="14" t="str">
        <f>BASE_PGV[[#This Row],[Sigla]]&amp;"_"&amp;BASE_PGV[[#This Row],[ID_Gems]]</f>
        <v>ALG_644411</v>
      </c>
    </row>
    <row r="4" spans="1:16" ht="25" customHeight="1" x14ac:dyDescent="0.35">
      <c r="A4" s="2" t="s">
        <v>14</v>
      </c>
      <c r="B4" s="2" t="s">
        <v>85</v>
      </c>
      <c r="C4" s="2" t="s">
        <v>167</v>
      </c>
      <c r="D4" s="2">
        <v>644756</v>
      </c>
      <c r="E4" s="2" t="s">
        <v>138</v>
      </c>
      <c r="F4" s="2" t="s">
        <v>139</v>
      </c>
      <c r="G4" s="2" t="s">
        <v>169</v>
      </c>
      <c r="H4" s="2">
        <v>1</v>
      </c>
      <c r="I4" s="2" t="s">
        <v>145</v>
      </c>
      <c r="J4" s="4">
        <v>43803.5114988067</v>
      </c>
      <c r="K4" s="4">
        <v>43803.5114988067</v>
      </c>
      <c r="L4" s="2" t="s">
        <v>146</v>
      </c>
      <c r="M4" s="2">
        <v>21</v>
      </c>
      <c r="N4" s="2">
        <v>667</v>
      </c>
      <c r="O4" s="2" t="s">
        <v>168</v>
      </c>
      <c r="P4" s="14" t="str">
        <f>BASE_PGV[[#This Row],[Sigla]]&amp;"_"&amp;BASE_PGV[[#This Row],[ID_Gems]]</f>
        <v>ALG_644756</v>
      </c>
    </row>
    <row r="5" spans="1:16" ht="25" customHeight="1" x14ac:dyDescent="0.35">
      <c r="A5" s="2" t="s">
        <v>14</v>
      </c>
      <c r="B5" s="2" t="s">
        <v>85</v>
      </c>
      <c r="C5" s="2" t="s">
        <v>167</v>
      </c>
      <c r="D5" s="2">
        <v>644763</v>
      </c>
      <c r="E5" s="2" t="s">
        <v>140</v>
      </c>
      <c r="F5" s="2" t="s">
        <v>139</v>
      </c>
      <c r="G5" s="2">
        <v>50</v>
      </c>
      <c r="H5" s="2">
        <v>1</v>
      </c>
      <c r="I5" s="2" t="s">
        <v>145</v>
      </c>
      <c r="J5" s="4">
        <v>3032.2143290774711</v>
      </c>
      <c r="K5" s="4">
        <v>3032.2143290774711</v>
      </c>
      <c r="L5" s="2" t="s">
        <v>148</v>
      </c>
      <c r="M5" s="2">
        <v>21</v>
      </c>
      <c r="N5" s="2">
        <v>0</v>
      </c>
      <c r="O5" s="2" t="s">
        <v>168</v>
      </c>
      <c r="P5" s="14" t="str">
        <f>BASE_PGV[[#This Row],[Sigla]]&amp;"_"&amp;BASE_PGV[[#This Row],[ID_Gems]]</f>
        <v>ALG_644763</v>
      </c>
    </row>
    <row r="6" spans="1:16" ht="25" customHeight="1" x14ac:dyDescent="0.35">
      <c r="A6" s="2" t="s">
        <v>14</v>
      </c>
      <c r="B6" s="2" t="s">
        <v>85</v>
      </c>
      <c r="C6" s="2" t="s">
        <v>167</v>
      </c>
      <c r="D6" s="2">
        <v>644419</v>
      </c>
      <c r="E6" s="2" t="s">
        <v>140</v>
      </c>
      <c r="F6" s="2" t="s">
        <v>139</v>
      </c>
      <c r="G6" s="2">
        <v>50</v>
      </c>
      <c r="H6" s="2">
        <v>1</v>
      </c>
      <c r="I6" s="2" t="s">
        <v>145</v>
      </c>
      <c r="J6" s="4">
        <v>3032.2143290774711</v>
      </c>
      <c r="K6" s="4">
        <v>3032.2143290774711</v>
      </c>
      <c r="L6" s="2" t="s">
        <v>148</v>
      </c>
      <c r="M6" s="2">
        <v>21</v>
      </c>
      <c r="N6" s="2">
        <v>0</v>
      </c>
      <c r="O6" s="2" t="s">
        <v>168</v>
      </c>
      <c r="P6" s="14" t="str">
        <f>BASE_PGV[[#This Row],[Sigla]]&amp;"_"&amp;BASE_PGV[[#This Row],[ID_Gems]]</f>
        <v>ALG_644419</v>
      </c>
    </row>
    <row r="7" spans="1:16" ht="25" customHeight="1" x14ac:dyDescent="0.35">
      <c r="A7" s="2" t="s">
        <v>14</v>
      </c>
      <c r="B7" s="2" t="s">
        <v>85</v>
      </c>
      <c r="C7" s="2" t="s">
        <v>167</v>
      </c>
      <c r="D7" s="2">
        <v>644415</v>
      </c>
      <c r="E7" s="2" t="s">
        <v>140</v>
      </c>
      <c r="F7" s="2" t="s">
        <v>139</v>
      </c>
      <c r="G7" s="2">
        <v>100</v>
      </c>
      <c r="H7" s="2">
        <v>1</v>
      </c>
      <c r="I7" s="2" t="s">
        <v>145</v>
      </c>
      <c r="J7" s="4">
        <v>3425.8036591539926</v>
      </c>
      <c r="K7" s="4">
        <v>3425.8036591539926</v>
      </c>
      <c r="L7" s="2" t="s">
        <v>148</v>
      </c>
      <c r="M7" s="2">
        <v>21</v>
      </c>
      <c r="N7" s="2">
        <v>0</v>
      </c>
      <c r="O7" s="2" t="s">
        <v>168</v>
      </c>
      <c r="P7" s="14" t="str">
        <f>BASE_PGV[[#This Row],[Sigla]]&amp;"_"&amp;BASE_PGV[[#This Row],[ID_Gems]]</f>
        <v>ALG_644415</v>
      </c>
    </row>
    <row r="8" spans="1:16" ht="25" customHeight="1" x14ac:dyDescent="0.35">
      <c r="A8" s="2" t="s">
        <v>14</v>
      </c>
      <c r="B8" s="2" t="s">
        <v>85</v>
      </c>
      <c r="C8" s="2" t="s">
        <v>167</v>
      </c>
      <c r="D8" s="2">
        <v>277581</v>
      </c>
      <c r="E8" s="2" t="s">
        <v>140</v>
      </c>
      <c r="F8" s="2" t="s">
        <v>139</v>
      </c>
      <c r="G8" s="2">
        <v>50</v>
      </c>
      <c r="H8" s="2">
        <v>1</v>
      </c>
      <c r="I8" s="2" t="s">
        <v>166</v>
      </c>
      <c r="J8" s="4">
        <v>0</v>
      </c>
      <c r="K8" s="4">
        <v>0</v>
      </c>
      <c r="L8" s="2" t="s">
        <v>148</v>
      </c>
      <c r="M8" s="2">
        <v>21</v>
      </c>
      <c r="N8" s="2">
        <v>0</v>
      </c>
      <c r="O8" s="2" t="s">
        <v>168</v>
      </c>
      <c r="P8" s="14" t="str">
        <f>BASE_PGV[[#This Row],[Sigla]]&amp;"_"&amp;BASE_PGV[[#This Row],[ID_Gems]]</f>
        <v>ALG_277581</v>
      </c>
    </row>
    <row r="9" spans="1:16" ht="25" customHeight="1" x14ac:dyDescent="0.35">
      <c r="A9" s="2" t="s">
        <v>14</v>
      </c>
      <c r="B9" s="2" t="s">
        <v>85</v>
      </c>
      <c r="C9" s="2" t="s">
        <v>167</v>
      </c>
      <c r="D9" s="2">
        <v>6903</v>
      </c>
      <c r="E9" s="2" t="s">
        <v>140</v>
      </c>
      <c r="F9" s="2" t="s">
        <v>139</v>
      </c>
      <c r="G9" s="2">
        <v>150</v>
      </c>
      <c r="H9" s="2">
        <v>1</v>
      </c>
      <c r="I9" s="2" t="s">
        <v>166</v>
      </c>
      <c r="J9" s="4">
        <v>0</v>
      </c>
      <c r="K9" s="4">
        <v>0</v>
      </c>
      <c r="L9" s="2" t="s">
        <v>148</v>
      </c>
      <c r="M9" s="2">
        <v>21</v>
      </c>
      <c r="N9" s="2">
        <v>0</v>
      </c>
      <c r="O9" s="2" t="s">
        <v>168</v>
      </c>
      <c r="P9" s="14" t="str">
        <f>BASE_PGV[[#This Row],[Sigla]]&amp;"_"&amp;BASE_PGV[[#This Row],[ID_Gems]]</f>
        <v>ALG_6903</v>
      </c>
    </row>
    <row r="10" spans="1:16" ht="25" customHeight="1" x14ac:dyDescent="0.35">
      <c r="A10" s="2" t="s">
        <v>14</v>
      </c>
      <c r="B10" s="2" t="s">
        <v>85</v>
      </c>
      <c r="C10" s="2" t="s">
        <v>170</v>
      </c>
      <c r="D10" s="2">
        <v>644790</v>
      </c>
      <c r="E10" s="2" t="s">
        <v>138</v>
      </c>
      <c r="F10" s="2" t="s">
        <v>139</v>
      </c>
      <c r="G10" s="2" t="s">
        <v>171</v>
      </c>
      <c r="H10" s="2">
        <v>1</v>
      </c>
      <c r="I10" s="2" t="s">
        <v>145</v>
      </c>
      <c r="J10" s="4">
        <v>31720.850365068087</v>
      </c>
      <c r="K10" s="4">
        <v>31720.850365068087</v>
      </c>
      <c r="L10" s="2" t="s">
        <v>146</v>
      </c>
      <c r="M10" s="2">
        <v>21</v>
      </c>
      <c r="N10" s="2">
        <v>286</v>
      </c>
      <c r="O10" s="2" t="s">
        <v>172</v>
      </c>
      <c r="P10" s="14" t="str">
        <f>BASE_PGV[[#This Row],[Sigla]]&amp;"_"&amp;BASE_PGV[[#This Row],[ID_Gems]]</f>
        <v>ALG_644790</v>
      </c>
    </row>
    <row r="11" spans="1:16" ht="25" customHeight="1" x14ac:dyDescent="0.35">
      <c r="A11" s="2" t="s">
        <v>14</v>
      </c>
      <c r="B11" s="2" t="s">
        <v>85</v>
      </c>
      <c r="C11" s="2" t="s">
        <v>170</v>
      </c>
      <c r="D11" s="2">
        <v>3380</v>
      </c>
      <c r="E11" s="2" t="s">
        <v>140</v>
      </c>
      <c r="F11" s="2" t="s">
        <v>139</v>
      </c>
      <c r="G11" s="2">
        <v>50</v>
      </c>
      <c r="H11" s="2">
        <v>1</v>
      </c>
      <c r="I11" s="2" t="s">
        <v>166</v>
      </c>
      <c r="J11" s="4">
        <v>0</v>
      </c>
      <c r="K11" s="4">
        <v>0</v>
      </c>
      <c r="L11" s="2" t="s">
        <v>148</v>
      </c>
      <c r="M11" s="2">
        <v>21</v>
      </c>
      <c r="N11" s="2">
        <v>0</v>
      </c>
      <c r="O11" s="2" t="s">
        <v>173</v>
      </c>
      <c r="P11" s="14" t="str">
        <f>BASE_PGV[[#This Row],[Sigla]]&amp;"_"&amp;BASE_PGV[[#This Row],[ID_Gems]]</f>
        <v>ALG_3380</v>
      </c>
    </row>
    <row r="12" spans="1:16" ht="25" customHeight="1" x14ac:dyDescent="0.35">
      <c r="A12" s="2" t="s">
        <v>14</v>
      </c>
      <c r="B12" s="2" t="s">
        <v>85</v>
      </c>
      <c r="C12" s="2" t="s">
        <v>174</v>
      </c>
      <c r="D12" s="2">
        <v>644813</v>
      </c>
      <c r="E12" s="2" t="s">
        <v>138</v>
      </c>
      <c r="F12" s="2" t="s">
        <v>139</v>
      </c>
      <c r="G12" s="2" t="s">
        <v>149</v>
      </c>
      <c r="H12" s="2">
        <v>1</v>
      </c>
      <c r="I12" s="2" t="s">
        <v>145</v>
      </c>
      <c r="J12" s="4">
        <v>33123.172617568089</v>
      </c>
      <c r="K12" s="4">
        <v>33123.172617568089</v>
      </c>
      <c r="L12" s="2" t="s">
        <v>146</v>
      </c>
      <c r="M12" s="2">
        <v>21</v>
      </c>
      <c r="N12" s="2">
        <v>643</v>
      </c>
      <c r="O12" s="2" t="s">
        <v>173</v>
      </c>
      <c r="P12" s="14" t="str">
        <f>BASE_PGV[[#This Row],[Sigla]]&amp;"_"&amp;BASE_PGV[[#This Row],[ID_Gems]]</f>
        <v>ALG_644813</v>
      </c>
    </row>
    <row r="13" spans="1:16" ht="25" customHeight="1" x14ac:dyDescent="0.35"/>
    <row r="14" spans="1:16" ht="25" customHeight="1" x14ac:dyDescent="0.35"/>
    <row r="15" spans="1:16" ht="25" customHeight="1" x14ac:dyDescent="0.35"/>
    <row r="16" spans="1:16" ht="25" customHeight="1" x14ac:dyDescent="0.35"/>
    <row r="17" ht="25" customHeight="1" x14ac:dyDescent="0.35"/>
    <row r="18" ht="25" customHeight="1" x14ac:dyDescent="0.35"/>
    <row r="19" ht="25" customHeight="1" x14ac:dyDescent="0.35"/>
    <row r="20" ht="25" customHeight="1" x14ac:dyDescent="0.35"/>
    <row r="21" ht="25" customHeight="1" x14ac:dyDescent="0.35"/>
    <row r="22" ht="25" customHeight="1" x14ac:dyDescent="0.35"/>
    <row r="23" ht="25" customHeight="1" x14ac:dyDescent="0.35"/>
    <row r="24" ht="25" customHeight="1" x14ac:dyDescent="0.35"/>
    <row r="25" ht="25" customHeight="1" x14ac:dyDescent="0.35"/>
    <row r="26" ht="25" customHeight="1" x14ac:dyDescent="0.35"/>
    <row r="27" ht="25" customHeight="1" x14ac:dyDescent="0.35"/>
    <row r="28" ht="25" customHeight="1" x14ac:dyDescent="0.35"/>
    <row r="29" ht="25" customHeight="1" x14ac:dyDescent="0.35"/>
    <row r="30" ht="25" customHeight="1" x14ac:dyDescent="0.35"/>
    <row r="31" ht="25" customHeight="1" x14ac:dyDescent="0.35"/>
    <row r="32" ht="25" customHeight="1" x14ac:dyDescent="0.35"/>
    <row r="33" ht="25" customHeight="1" x14ac:dyDescent="0.35"/>
    <row r="34" ht="25" customHeight="1" x14ac:dyDescent="0.35"/>
    <row r="35" ht="25" customHeight="1" x14ac:dyDescent="0.35"/>
    <row r="36" ht="25" customHeight="1" x14ac:dyDescent="0.35"/>
    <row r="37" ht="25" customHeight="1" x14ac:dyDescent="0.35"/>
    <row r="38" ht="25" customHeight="1" x14ac:dyDescent="0.35"/>
    <row r="39" ht="25" customHeight="1" x14ac:dyDescent="0.35"/>
    <row r="40" ht="25" customHeight="1" x14ac:dyDescent="0.35"/>
    <row r="41" ht="25" customHeight="1" x14ac:dyDescent="0.35"/>
    <row r="42" ht="25" customHeight="1" x14ac:dyDescent="0.35"/>
    <row r="43" ht="25" customHeight="1" x14ac:dyDescent="0.35"/>
    <row r="44" ht="25" customHeight="1" x14ac:dyDescent="0.35"/>
    <row r="45" ht="25" customHeight="1" x14ac:dyDescent="0.35"/>
    <row r="46" ht="25" customHeight="1" x14ac:dyDescent="0.35"/>
    <row r="47" ht="25" customHeight="1" x14ac:dyDescent="0.35"/>
    <row r="48" ht="25" customHeight="1" x14ac:dyDescent="0.35"/>
    <row r="49" ht="25" customHeight="1" x14ac:dyDescent="0.35"/>
    <row r="50" ht="25" customHeight="1" x14ac:dyDescent="0.35"/>
    <row r="51" ht="25" customHeight="1" x14ac:dyDescent="0.35"/>
    <row r="52" ht="25" customHeight="1" x14ac:dyDescent="0.35"/>
    <row r="53" ht="25" customHeight="1" x14ac:dyDescent="0.35"/>
    <row r="54" ht="25" customHeight="1" x14ac:dyDescent="0.35"/>
    <row r="55" ht="25" customHeight="1" x14ac:dyDescent="0.35"/>
    <row r="56" ht="25" customHeight="1" x14ac:dyDescent="0.35"/>
    <row r="57" ht="25" customHeight="1" x14ac:dyDescent="0.35"/>
    <row r="58" ht="25" customHeight="1" x14ac:dyDescent="0.35"/>
    <row r="59" ht="25" customHeight="1" x14ac:dyDescent="0.35"/>
    <row r="60" ht="25" customHeight="1" x14ac:dyDescent="0.35"/>
    <row r="61" ht="25" customHeight="1" x14ac:dyDescent="0.35"/>
    <row r="62" ht="25" customHeight="1" x14ac:dyDescent="0.35"/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A337-3CB0-4EBC-9E2A-F809A10F2A78}">
  <sheetPr>
    <tabColor rgb="FF000099"/>
  </sheetPr>
  <dimension ref="A1:R4"/>
  <sheetViews>
    <sheetView showGridLines="0" tabSelected="1" workbookViewId="0">
      <selection activeCell="C7" sqref="C7"/>
    </sheetView>
  </sheetViews>
  <sheetFormatPr defaultRowHeight="25" customHeight="1" x14ac:dyDescent="0.35"/>
  <cols>
    <col min="1" max="1" width="19.08984375" customWidth="1"/>
    <col min="2" max="2" width="14.54296875" bestFit="1" customWidth="1"/>
    <col min="3" max="3" width="9.54296875" bestFit="1" customWidth="1"/>
    <col min="4" max="4" width="15.08984375" bestFit="1" customWidth="1"/>
    <col min="5" max="5" width="25.90625" bestFit="1" customWidth="1"/>
    <col min="6" max="6" width="21.36328125" bestFit="1" customWidth="1"/>
    <col min="7" max="7" width="19.6328125" bestFit="1" customWidth="1"/>
    <col min="8" max="8" width="25.90625" bestFit="1" customWidth="1"/>
    <col min="9" max="9" width="24" bestFit="1" customWidth="1"/>
    <col min="10" max="10" width="16.7265625" bestFit="1" customWidth="1"/>
    <col min="11" max="11" width="16.36328125" bestFit="1" customWidth="1"/>
    <col min="12" max="12" width="17" bestFit="1" customWidth="1"/>
    <col min="13" max="13" width="19.08984375" bestFit="1" customWidth="1"/>
    <col min="14" max="14" width="21.81640625" bestFit="1" customWidth="1"/>
    <col min="15" max="15" width="19.36328125" bestFit="1" customWidth="1"/>
    <col min="16" max="16" width="18.26953125" customWidth="1"/>
    <col min="17" max="17" width="13.54296875" style="7" customWidth="1"/>
    <col min="18" max="18" width="14.36328125" customWidth="1"/>
  </cols>
  <sheetData>
    <row r="1" spans="1:18" s="1" customFormat="1" ht="40" customHeight="1" x14ac:dyDescent="0.35">
      <c r="A1" s="1" t="s">
        <v>11</v>
      </c>
      <c r="B1" s="1" t="s">
        <v>0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130</v>
      </c>
      <c r="R1" s="1" t="s">
        <v>164</v>
      </c>
    </row>
    <row r="2" spans="1:18" ht="25" customHeight="1" x14ac:dyDescent="0.35">
      <c r="A2" s="1" t="s">
        <v>168</v>
      </c>
      <c r="B2" s="9">
        <v>139192.11697568197</v>
      </c>
      <c r="C2" s="10">
        <v>6</v>
      </c>
      <c r="D2" s="11">
        <v>0.27065059814487502</v>
      </c>
      <c r="E2" s="12">
        <v>676.56000000000017</v>
      </c>
      <c r="F2" s="9">
        <v>2203.8184237951964</v>
      </c>
      <c r="G2" s="10">
        <v>29090.403194096594</v>
      </c>
      <c r="H2" s="10">
        <v>6174.7300000000005</v>
      </c>
      <c r="I2" s="11">
        <v>81.875978154806219</v>
      </c>
      <c r="J2" s="11">
        <v>49.959831799573315</v>
      </c>
      <c r="K2" s="11">
        <v>32</v>
      </c>
      <c r="L2" s="11">
        <v>34752</v>
      </c>
      <c r="M2" s="10">
        <v>63842.403194096594</v>
      </c>
      <c r="N2" s="10">
        <v>315887.27308446274</v>
      </c>
      <c r="O2" s="5">
        <v>0.59428271373527952</v>
      </c>
      <c r="P2" s="6">
        <v>2.1802455736589947</v>
      </c>
      <c r="Q2" s="8">
        <f>[2]!Resumo_PGVs[[#This Row],[CAPEX (R$)]]/[2]!Resumo_PGVs[[#This Row],[R$ Evitados/ano]]</f>
        <v>2.1802455736589947</v>
      </c>
      <c r="R2" s="8"/>
    </row>
    <row r="3" spans="1:18" ht="25" customHeight="1" x14ac:dyDescent="0.35">
      <c r="A3" s="1" t="s">
        <v>172</v>
      </c>
      <c r="B3" s="9">
        <v>31720.850365068087</v>
      </c>
      <c r="C3" s="10">
        <v>18</v>
      </c>
      <c r="D3" s="9">
        <v>0.59615573758747509</v>
      </c>
      <c r="E3" s="12">
        <v>252.96000000000004</v>
      </c>
      <c r="F3" s="9">
        <v>1814.980992795216</v>
      </c>
      <c r="G3" s="10">
        <v>23957.749104896855</v>
      </c>
      <c r="H3" s="10">
        <v>2230.5500000000002</v>
      </c>
      <c r="I3" s="11">
        <v>29.576752841533636</v>
      </c>
      <c r="J3" s="11">
        <v>7.154670978598328</v>
      </c>
      <c r="K3" s="11">
        <v>22</v>
      </c>
      <c r="L3" s="9">
        <v>23892</v>
      </c>
      <c r="M3" s="10">
        <v>47849.749104896851</v>
      </c>
      <c r="N3" s="10">
        <v>309360.21093183744</v>
      </c>
      <c r="O3" s="10">
        <v>6.1377498154094834</v>
      </c>
      <c r="P3" s="12">
        <v>0.6629261586205859</v>
      </c>
      <c r="Q3" s="8">
        <f>[2]!Resumo_PGVs[[#This Row],[CAPEX (R$)]]/[2]!Resumo_PGVs[[#This Row],[R$ Evitados/ano]]</f>
        <v>0.6629261586205859</v>
      </c>
      <c r="R3" s="8"/>
    </row>
    <row r="4" spans="1:18" ht="25" customHeight="1" x14ac:dyDescent="0.35">
      <c r="A4" s="1" t="s">
        <v>173</v>
      </c>
      <c r="B4" s="9">
        <v>33123.172617568089</v>
      </c>
      <c r="C4" s="10">
        <v>9</v>
      </c>
      <c r="D4" s="9">
        <v>0.40144099339352235</v>
      </c>
      <c r="E4" s="12">
        <v>398.15999999999991</v>
      </c>
      <c r="F4" s="9">
        <v>1923.7110826872424</v>
      </c>
      <c r="G4" s="10">
        <v>25392.986291471603</v>
      </c>
      <c r="H4" s="10">
        <v>4055.6800000000003</v>
      </c>
      <c r="I4" s="11">
        <v>53.777698309543005</v>
      </c>
      <c r="J4" s="11">
        <v>24.083863861501076</v>
      </c>
      <c r="K4" s="11">
        <v>30</v>
      </c>
      <c r="L4" s="9">
        <v>32580</v>
      </c>
      <c r="M4" s="10">
        <v>57972.986291471607</v>
      </c>
      <c r="N4" s="10">
        <v>380118.02635922044</v>
      </c>
      <c r="O4" s="10">
        <v>14.014377155934948</v>
      </c>
      <c r="P4" s="12">
        <v>0.57135529384382999</v>
      </c>
      <c r="Q4" s="13">
        <f>[2]!Resumo_PGVs[[#This Row],[CAPEX (R$)]]/[2]!Resumo_PGVs[[#This Row],[R$ Evitados/ano]]</f>
        <v>0.57135529384382999</v>
      </c>
      <c r="R4" s="8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91FA-4AF8-4380-8A3A-1E98D0B82E6B}">
  <sheetPr>
    <tabColor rgb="FFFFFF00"/>
  </sheetPr>
  <dimension ref="A1:B62"/>
  <sheetViews>
    <sheetView showGridLines="0" workbookViewId="0">
      <selection activeCell="D6" sqref="D6"/>
    </sheetView>
  </sheetViews>
  <sheetFormatPr defaultRowHeight="25" customHeight="1" x14ac:dyDescent="0.35"/>
  <cols>
    <col min="1" max="1" width="26.26953125" style="1" bestFit="1" customWidth="1"/>
    <col min="2" max="16384" width="8.7265625" style="1"/>
  </cols>
  <sheetData>
    <row r="1" spans="1:2" ht="40" customHeight="1" x14ac:dyDescent="0.35">
      <c r="A1" s="1" t="s">
        <v>135</v>
      </c>
      <c r="B1" s="1" t="s">
        <v>12</v>
      </c>
    </row>
    <row r="2" spans="1:2" ht="25" customHeight="1" x14ac:dyDescent="0.35">
      <c r="A2" s="1" t="s">
        <v>13</v>
      </c>
      <c r="B2" s="1" t="s">
        <v>74</v>
      </c>
    </row>
    <row r="3" spans="1:2" ht="25" customHeight="1" x14ac:dyDescent="0.35">
      <c r="A3" s="1" t="s">
        <v>14</v>
      </c>
      <c r="B3" s="1" t="s">
        <v>85</v>
      </c>
    </row>
    <row r="4" spans="1:2" ht="25" customHeight="1" x14ac:dyDescent="0.35">
      <c r="A4" s="1" t="s">
        <v>15</v>
      </c>
      <c r="B4" s="1" t="s">
        <v>88</v>
      </c>
    </row>
    <row r="5" spans="1:2" ht="25" customHeight="1" x14ac:dyDescent="0.35">
      <c r="A5" s="1" t="s">
        <v>16</v>
      </c>
      <c r="B5" s="1" t="s">
        <v>89</v>
      </c>
    </row>
    <row r="6" spans="1:2" ht="25" customHeight="1" x14ac:dyDescent="0.35">
      <c r="A6" s="1" t="s">
        <v>17</v>
      </c>
      <c r="B6" s="1" t="s">
        <v>90</v>
      </c>
    </row>
    <row r="7" spans="1:2" ht="25" customHeight="1" x14ac:dyDescent="0.35">
      <c r="A7" s="1" t="s">
        <v>18</v>
      </c>
      <c r="B7" s="1" t="s">
        <v>91</v>
      </c>
    </row>
    <row r="8" spans="1:2" ht="25" customHeight="1" x14ac:dyDescent="0.35">
      <c r="A8" s="1" t="s">
        <v>19</v>
      </c>
      <c r="B8" s="1" t="s">
        <v>75</v>
      </c>
    </row>
    <row r="9" spans="1:2" ht="25" customHeight="1" x14ac:dyDescent="0.35">
      <c r="A9" s="1" t="s">
        <v>20</v>
      </c>
      <c r="B9" s="1" t="s">
        <v>76</v>
      </c>
    </row>
    <row r="10" spans="1:2" ht="25" customHeight="1" x14ac:dyDescent="0.35">
      <c r="A10" s="1" t="s">
        <v>21</v>
      </c>
      <c r="B10" s="1" t="s">
        <v>92</v>
      </c>
    </row>
    <row r="11" spans="1:2" ht="25" customHeight="1" x14ac:dyDescent="0.35">
      <c r="A11" s="1" t="s">
        <v>22</v>
      </c>
      <c r="B11" s="1" t="s">
        <v>93</v>
      </c>
    </row>
    <row r="12" spans="1:2" ht="25" customHeight="1" x14ac:dyDescent="0.35">
      <c r="A12" s="1" t="s">
        <v>23</v>
      </c>
      <c r="B12" s="1" t="s">
        <v>77</v>
      </c>
    </row>
    <row r="13" spans="1:2" ht="25" customHeight="1" x14ac:dyDescent="0.35">
      <c r="A13" s="1" t="s">
        <v>24</v>
      </c>
      <c r="B13" s="1" t="s">
        <v>94</v>
      </c>
    </row>
    <row r="14" spans="1:2" ht="25" customHeight="1" x14ac:dyDescent="0.35">
      <c r="A14" s="1" t="s">
        <v>25</v>
      </c>
      <c r="B14" s="1" t="s">
        <v>95</v>
      </c>
    </row>
    <row r="15" spans="1:2" ht="25" customHeight="1" x14ac:dyDescent="0.35">
      <c r="A15" s="1" t="s">
        <v>26</v>
      </c>
      <c r="B15" s="1" t="s">
        <v>96</v>
      </c>
    </row>
    <row r="16" spans="1:2" ht="25" customHeight="1" x14ac:dyDescent="0.35">
      <c r="A16" s="1" t="s">
        <v>27</v>
      </c>
      <c r="B16" s="1" t="s">
        <v>86</v>
      </c>
    </row>
    <row r="17" spans="1:2" ht="25" customHeight="1" x14ac:dyDescent="0.35">
      <c r="A17" s="1" t="s">
        <v>28</v>
      </c>
      <c r="B17" s="1" t="s">
        <v>97</v>
      </c>
    </row>
    <row r="18" spans="1:2" ht="25" customHeight="1" x14ac:dyDescent="0.35">
      <c r="A18" s="1" t="s">
        <v>29</v>
      </c>
      <c r="B18" s="1" t="s">
        <v>98</v>
      </c>
    </row>
    <row r="19" spans="1:2" ht="25" customHeight="1" x14ac:dyDescent="0.35">
      <c r="A19" s="1" t="s">
        <v>30</v>
      </c>
      <c r="B19" s="1" t="s">
        <v>78</v>
      </c>
    </row>
    <row r="20" spans="1:2" ht="25" customHeight="1" x14ac:dyDescent="0.35">
      <c r="A20" s="1" t="s">
        <v>31</v>
      </c>
      <c r="B20" s="1" t="s">
        <v>99</v>
      </c>
    </row>
    <row r="21" spans="1:2" ht="25" customHeight="1" x14ac:dyDescent="0.35">
      <c r="A21" s="1" t="s">
        <v>32</v>
      </c>
      <c r="B21" s="1" t="s">
        <v>100</v>
      </c>
    </row>
    <row r="22" spans="1:2" ht="25" customHeight="1" x14ac:dyDescent="0.35">
      <c r="A22" s="1" t="s">
        <v>33</v>
      </c>
      <c r="B22" s="1" t="s">
        <v>101</v>
      </c>
    </row>
    <row r="23" spans="1:2" ht="25" customHeight="1" x14ac:dyDescent="0.35">
      <c r="A23" s="1" t="s">
        <v>34</v>
      </c>
      <c r="B23" s="1" t="s">
        <v>102</v>
      </c>
    </row>
    <row r="24" spans="1:2" ht="25" customHeight="1" x14ac:dyDescent="0.35">
      <c r="A24" s="1" t="s">
        <v>35</v>
      </c>
      <c r="B24" s="1" t="s">
        <v>79</v>
      </c>
    </row>
    <row r="25" spans="1:2" ht="25" customHeight="1" x14ac:dyDescent="0.35">
      <c r="A25" s="1" t="s">
        <v>36</v>
      </c>
      <c r="B25" s="1" t="s">
        <v>104</v>
      </c>
    </row>
    <row r="26" spans="1:2" ht="25" customHeight="1" x14ac:dyDescent="0.35">
      <c r="A26" s="1" t="s">
        <v>37</v>
      </c>
      <c r="B26" s="1" t="s">
        <v>80</v>
      </c>
    </row>
    <row r="27" spans="1:2" ht="25" customHeight="1" x14ac:dyDescent="0.35">
      <c r="A27" s="1" t="s">
        <v>38</v>
      </c>
      <c r="B27" s="1" t="s">
        <v>81</v>
      </c>
    </row>
    <row r="28" spans="1:2" ht="25" customHeight="1" x14ac:dyDescent="0.35">
      <c r="A28" s="1" t="s">
        <v>39</v>
      </c>
      <c r="B28" s="1" t="s">
        <v>105</v>
      </c>
    </row>
    <row r="29" spans="1:2" ht="25" customHeight="1" x14ac:dyDescent="0.35">
      <c r="A29" s="1" t="s">
        <v>40</v>
      </c>
      <c r="B29" s="1" t="s">
        <v>106</v>
      </c>
    </row>
    <row r="30" spans="1:2" ht="25" customHeight="1" x14ac:dyDescent="0.35">
      <c r="A30" s="1" t="s">
        <v>41</v>
      </c>
      <c r="B30" s="1" t="s">
        <v>87</v>
      </c>
    </row>
    <row r="31" spans="1:2" ht="25" customHeight="1" x14ac:dyDescent="0.35">
      <c r="A31" s="1" t="s">
        <v>42</v>
      </c>
      <c r="B31" s="1" t="s">
        <v>107</v>
      </c>
    </row>
    <row r="32" spans="1:2" ht="25" customHeight="1" x14ac:dyDescent="0.35">
      <c r="A32" s="1" t="s">
        <v>43</v>
      </c>
      <c r="B32" s="1" t="s">
        <v>108</v>
      </c>
    </row>
    <row r="33" spans="1:2" ht="25" customHeight="1" x14ac:dyDescent="0.35">
      <c r="A33" s="1" t="s">
        <v>44</v>
      </c>
      <c r="B33" s="1" t="s">
        <v>82</v>
      </c>
    </row>
    <row r="34" spans="1:2" ht="25" customHeight="1" x14ac:dyDescent="0.35">
      <c r="A34" s="1" t="s">
        <v>45</v>
      </c>
      <c r="B34" s="1" t="s">
        <v>109</v>
      </c>
    </row>
    <row r="35" spans="1:2" ht="25" customHeight="1" x14ac:dyDescent="0.35">
      <c r="A35" s="1" t="s">
        <v>46</v>
      </c>
      <c r="B35" s="1" t="s">
        <v>113</v>
      </c>
    </row>
    <row r="36" spans="1:2" ht="25" customHeight="1" x14ac:dyDescent="0.35">
      <c r="A36" s="1" t="s">
        <v>47</v>
      </c>
      <c r="B36" s="1" t="s">
        <v>114</v>
      </c>
    </row>
    <row r="37" spans="1:2" ht="25" customHeight="1" x14ac:dyDescent="0.35">
      <c r="A37" s="1" t="s">
        <v>48</v>
      </c>
      <c r="B37" s="1" t="s">
        <v>83</v>
      </c>
    </row>
    <row r="38" spans="1:2" ht="25" customHeight="1" x14ac:dyDescent="0.35">
      <c r="A38" s="1" t="s">
        <v>49</v>
      </c>
      <c r="B38" s="1" t="s">
        <v>84</v>
      </c>
    </row>
    <row r="39" spans="1:2" ht="25" customHeight="1" x14ac:dyDescent="0.35">
      <c r="A39" s="1" t="s">
        <v>50</v>
      </c>
      <c r="B39" s="1" t="s">
        <v>122</v>
      </c>
    </row>
    <row r="40" spans="1:2" ht="25" customHeight="1" x14ac:dyDescent="0.35">
      <c r="A40" s="1" t="s">
        <v>51</v>
      </c>
      <c r="B40" s="1" t="s">
        <v>123</v>
      </c>
    </row>
    <row r="41" spans="1:2" ht="25" customHeight="1" x14ac:dyDescent="0.35">
      <c r="A41" s="1" t="s">
        <v>52</v>
      </c>
      <c r="B41" s="1" t="s">
        <v>124</v>
      </c>
    </row>
    <row r="42" spans="1:2" ht="25" customHeight="1" x14ac:dyDescent="0.35">
      <c r="A42" s="1" t="s">
        <v>53</v>
      </c>
      <c r="B42" s="1" t="s">
        <v>110</v>
      </c>
    </row>
    <row r="43" spans="1:2" ht="25" customHeight="1" x14ac:dyDescent="0.35">
      <c r="A43" s="1" t="s">
        <v>54</v>
      </c>
      <c r="B43" s="1" t="s">
        <v>125</v>
      </c>
    </row>
    <row r="44" spans="1:2" ht="25" customHeight="1" x14ac:dyDescent="0.35">
      <c r="A44" s="1" t="s">
        <v>55</v>
      </c>
      <c r="B44" s="1" t="s">
        <v>103</v>
      </c>
    </row>
    <row r="45" spans="1:2" ht="25" customHeight="1" x14ac:dyDescent="0.35">
      <c r="A45" s="1" t="s">
        <v>56</v>
      </c>
      <c r="B45" s="1" t="s">
        <v>115</v>
      </c>
    </row>
    <row r="46" spans="1:2" ht="25" customHeight="1" x14ac:dyDescent="0.35">
      <c r="A46" s="1" t="s">
        <v>57</v>
      </c>
      <c r="B46" s="1" t="s">
        <v>126</v>
      </c>
    </row>
    <row r="47" spans="1:2" ht="25" customHeight="1" x14ac:dyDescent="0.35">
      <c r="A47" s="1" t="s">
        <v>58</v>
      </c>
      <c r="B47" s="1" t="s">
        <v>116</v>
      </c>
    </row>
    <row r="48" spans="1:2" ht="25" customHeight="1" x14ac:dyDescent="0.35">
      <c r="A48" s="1" t="s">
        <v>59</v>
      </c>
      <c r="B48" s="1" t="s">
        <v>127</v>
      </c>
    </row>
    <row r="49" spans="1:2" ht="25" customHeight="1" x14ac:dyDescent="0.35">
      <c r="A49" s="1" t="s">
        <v>60</v>
      </c>
      <c r="B49" s="1" t="s">
        <v>117</v>
      </c>
    </row>
    <row r="50" spans="1:2" ht="25" customHeight="1" x14ac:dyDescent="0.35">
      <c r="A50" s="1" t="s">
        <v>61</v>
      </c>
      <c r="B50" s="1" t="s">
        <v>118</v>
      </c>
    </row>
    <row r="51" spans="1:2" ht="25" customHeight="1" x14ac:dyDescent="0.35">
      <c r="A51" s="1" t="s">
        <v>62</v>
      </c>
      <c r="B51" s="1" t="s">
        <v>128</v>
      </c>
    </row>
    <row r="52" spans="1:2" ht="25" customHeight="1" x14ac:dyDescent="0.35">
      <c r="A52" s="1" t="s">
        <v>63</v>
      </c>
      <c r="B52" s="1" t="s">
        <v>119</v>
      </c>
    </row>
    <row r="53" spans="1:2" ht="25" customHeight="1" x14ac:dyDescent="0.35">
      <c r="A53" s="1" t="s">
        <v>64</v>
      </c>
      <c r="B53" s="1" t="s">
        <v>129</v>
      </c>
    </row>
    <row r="54" spans="1:2" ht="25" customHeight="1" x14ac:dyDescent="0.35">
      <c r="A54" s="1" t="s">
        <v>65</v>
      </c>
      <c r="B54" s="1" t="s">
        <v>111</v>
      </c>
    </row>
    <row r="55" spans="1:2" ht="25" customHeight="1" x14ac:dyDescent="0.35">
      <c r="A55" s="1" t="s">
        <v>66</v>
      </c>
      <c r="B55" s="1" t="s">
        <v>120</v>
      </c>
    </row>
    <row r="56" spans="1:2" ht="25" customHeight="1" x14ac:dyDescent="0.35">
      <c r="A56" s="1" t="s">
        <v>67</v>
      </c>
      <c r="B56" s="1" t="s">
        <v>130</v>
      </c>
    </row>
    <row r="57" spans="1:2" ht="25" customHeight="1" x14ac:dyDescent="0.35">
      <c r="A57" s="1" t="s">
        <v>68</v>
      </c>
      <c r="B57" s="1" t="s">
        <v>131</v>
      </c>
    </row>
    <row r="58" spans="1:2" ht="25" customHeight="1" x14ac:dyDescent="0.35">
      <c r="A58" s="1" t="s">
        <v>69</v>
      </c>
      <c r="B58" s="1" t="s">
        <v>112</v>
      </c>
    </row>
    <row r="59" spans="1:2" ht="25" customHeight="1" x14ac:dyDescent="0.35">
      <c r="A59" s="1" t="s">
        <v>70</v>
      </c>
      <c r="B59" s="1" t="s">
        <v>132</v>
      </c>
    </row>
    <row r="60" spans="1:2" ht="25" customHeight="1" x14ac:dyDescent="0.35">
      <c r="A60" s="1" t="s">
        <v>71</v>
      </c>
      <c r="B60" s="1" t="s">
        <v>133</v>
      </c>
    </row>
    <row r="61" spans="1:2" ht="25" customHeight="1" x14ac:dyDescent="0.35">
      <c r="A61" s="1" t="s">
        <v>72</v>
      </c>
      <c r="B61" s="1" t="s">
        <v>134</v>
      </c>
    </row>
    <row r="62" spans="1:2" ht="25" customHeight="1" x14ac:dyDescent="0.35">
      <c r="A62" s="1" t="s">
        <v>73</v>
      </c>
      <c r="B62" s="1" t="s">
        <v>121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ec255d-bcf1-4f29-910a-3fef2f022e50">
      <Terms xmlns="http://schemas.microsoft.com/office/infopath/2007/PartnerControls"/>
    </lcf76f155ced4ddcb4097134ff3c332f>
    <TaxCatchAll xmlns="47c388c7-ce56-47ae-9688-ade1677d7a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93E8FCDBAA1C42B175E801FE1B94CE" ma:contentTypeVersion="16" ma:contentTypeDescription="Create a new document." ma:contentTypeScope="" ma:versionID="a9c058aaa24ff547820de676198a9e43">
  <xsd:schema xmlns:xsd="http://www.w3.org/2001/XMLSchema" xmlns:xs="http://www.w3.org/2001/XMLSchema" xmlns:p="http://schemas.microsoft.com/office/2006/metadata/properties" xmlns:ns2="6fec255d-bcf1-4f29-910a-3fef2f022e50" xmlns:ns3="47c388c7-ce56-47ae-9688-ade1677d7a55" targetNamespace="http://schemas.microsoft.com/office/2006/metadata/properties" ma:root="true" ma:fieldsID="15a2d5ac32a8f6f19d84646e0883d2e1" ns2:_="" ns3:_="">
    <xsd:import namespace="6fec255d-bcf1-4f29-910a-3fef2f022e50"/>
    <xsd:import namespace="47c388c7-ce56-47ae-9688-ade1677d7a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c255d-bcf1-4f29-910a-3fef2f022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002aa79-1fc5-44a4-a23c-c8d49ef834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388c7-ce56-47ae-9688-ade1677d7a5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ec7a0d2-4ee2-41f4-9f95-90260fc2fb42}" ma:internalName="TaxCatchAll" ma:showField="CatchAllData" ma:web="47c388c7-ce56-47ae-9688-ade1677d7a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35BD900-4C30-40F4-8424-BFAC14093082}">
  <ds:schemaRefs>
    <ds:schemaRef ds:uri="http://schemas.microsoft.com/office/2006/metadata/properties"/>
    <ds:schemaRef ds:uri="http://schemas.microsoft.com/office/infopath/2007/PartnerControls"/>
    <ds:schemaRef ds:uri="6fec255d-bcf1-4f29-910a-3fef2f022e50"/>
    <ds:schemaRef ds:uri="47c388c7-ce56-47ae-9688-ade1677d7a55"/>
  </ds:schemaRefs>
</ds:datastoreItem>
</file>

<file path=customXml/itemProps2.xml><?xml version="1.0" encoding="utf-8"?>
<ds:datastoreItem xmlns:ds="http://schemas.openxmlformats.org/officeDocument/2006/customXml" ds:itemID="{89C187CA-070F-4D1F-A18D-41D45A01968E}"/>
</file>

<file path=customXml/itemProps3.xml><?xml version="1.0" encoding="utf-8"?>
<ds:datastoreItem xmlns:ds="http://schemas.openxmlformats.org/officeDocument/2006/customXml" ds:itemID="{B0BDE8E7-B3BD-424E-8B33-1D9334B65A5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4819DA2-7660-4BEA-B24A-75D045306C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ITEM</vt:lpstr>
      <vt:lpstr>OBRAS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Valim Bandeira</dc:creator>
  <cp:lastModifiedBy>Pedro Henrique Valim Bandeira</cp:lastModifiedBy>
  <dcterms:created xsi:type="dcterms:W3CDTF">2025-12-11T15:04:34Z</dcterms:created>
  <dcterms:modified xsi:type="dcterms:W3CDTF">2026-01-21T18:08:37Z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0x0101009293E8FCDBAA1C42B175E801FE1B94CE</vt:lpwstr>
  </property>
  <property fmtid="{D5CDD505-2E9C-101B-9397-08002B2CF9AE}" pid="3" name="MediaServiceImageTags">
    <vt:lpwstr/>
  </property>
</Properties>
</file>