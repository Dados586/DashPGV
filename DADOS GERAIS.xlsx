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aegeactl.sharepoint.com/sites/CORSANSURFRO/Shared Documents/General/00 - Bancos de Dados/"/>
    </mc:Choice>
  </mc:AlternateContent>
  <xr:revisionPtr revIDLastSave="1768" documentId="14_{C459162B-4AA7-48C2-8623-093FA90031A0}" xr6:coauthVersionLast="47" xr6:coauthVersionMax="47" xr10:uidLastSave="{E1FB724B-3CC2-49B2-817C-81B5C41FAE10}"/>
  <bookViews>
    <workbookView xWindow="-28920" yWindow="-120" windowWidth="29040" windowHeight="15720" tabRatio="832" firstSheet="2" activeTab="2" xr2:uid="{00000000-000D-0000-FFFF-FFFF00000000}"/>
  </bookViews>
  <sheets>
    <sheet name="Regional Antigo" sheetId="2" state="hidden" r:id="rId1"/>
    <sheet name="Dados antigos" sheetId="39" state="hidden" r:id="rId2"/>
    <sheet name="CIDADES" sheetId="33" r:id="rId3"/>
    <sheet name="MATERIAIS" sheetId="46" r:id="rId4"/>
    <sheet name="OUTROS" sheetId="42" r:id="rId5"/>
    <sheet name="ETAS E POCOS" sheetId="41" r:id="rId6"/>
    <sheet name="Correlacao_de_faturas" sheetId="45" r:id="rId7"/>
    <sheet name="METAS" sheetId="36" r:id="rId8"/>
    <sheet name="SURFRO mesclada" sheetId="29" state="hidden" r:id="rId9"/>
    <sheet name="SURPRA mesclada" sheetId="28" state="hidden" r:id="rId10"/>
    <sheet name="Santa margarida do sul" sheetId="27" state="hidden" r:id="rId11"/>
    <sheet name="Unistalda" sheetId="26" state="hidden" r:id="rId12"/>
    <sheet name="Nova esperança do sul" sheetId="25" state="hidden" r:id="rId13"/>
    <sheet name="Aceguá" sheetId="24" state="hidden" r:id="rId14"/>
    <sheet name="São vincente do sul" sheetId="23" state="hidden" r:id="rId15"/>
    <sheet name="São francisco de assis" sheetId="22" state="hidden" r:id="rId16"/>
    <sheet name="Santiago" sheetId="21" state="hidden" r:id="rId17"/>
    <sheet name="Santada da boa vista" sheetId="20" state="hidden" r:id="rId18"/>
    <sheet name="Rosário do sul" sheetId="19" state="hidden" r:id="rId19"/>
    <sheet name="Lavras do sul" sheetId="18" state="hidden" r:id="rId20"/>
    <sheet name="Jaguari" sheetId="17" state="hidden" r:id="rId21"/>
    <sheet name="Encruzilhada do sul" sheetId="16" state="hidden" r:id="rId22"/>
    <sheet name="Dom Pedrito" sheetId="15" state="hidden" r:id="rId23"/>
    <sheet name="Cacequi" sheetId="14" state="hidden" r:id="rId24"/>
    <sheet name="Bossoroca" sheetId="13" state="hidden" r:id="rId25"/>
    <sheet name="Caçapava do Sul" sheetId="12" state="hidden" r:id="rId26"/>
    <sheet name="Regional" sheetId="11" state="hidden" r:id="rId27"/>
    <sheet name="Barra do quaraí" sheetId="10" state="hidden" r:id="rId28"/>
    <sheet name="Maçambará" sheetId="9" state="hidden" r:id="rId29"/>
    <sheet name="São Borja" sheetId="8" state="hidden" r:id="rId30"/>
    <sheet name="Quaraí" sheetId="7" state="hidden" r:id="rId31"/>
    <sheet name="Manoel Viana" sheetId="6" state="hidden" r:id="rId32"/>
    <sheet name="Itaqui" sheetId="5" state="hidden" r:id="rId33"/>
    <sheet name="Alegrete" sheetId="4" state="hidden" r:id="rId34"/>
    <sheet name="Planilha1" sheetId="3" state="hidden" r:id="rId35"/>
  </sheets>
  <definedNames>
    <definedName name="_xlnm.Print_Area" localSheetId="2">Dados_Regionais_G5[[#All],[US_acentuados]:[Km rede]]</definedName>
    <definedName name="DadosExternos_1" localSheetId="25" hidden="1">'Caçapava do Sul'!$A$1:$E$12</definedName>
    <definedName name="DadosExternos_1" localSheetId="0" hidden="1">'Regional Antigo'!$A$1:$G$415</definedName>
    <definedName name="DadosExternos_10" localSheetId="16" hidden="1">Santiago!$A$1:$E$12</definedName>
    <definedName name="DadosExternos_11" localSheetId="15" hidden="1">'São francisco de assis'!$A$1:$E$12</definedName>
    <definedName name="DadosExternos_12" localSheetId="14" hidden="1">'São vincente do sul'!$A$1:$E$12</definedName>
    <definedName name="DadosExternos_13" localSheetId="13" hidden="1">Aceguá!$A$1:$E$12</definedName>
    <definedName name="DadosExternos_14" localSheetId="12" hidden="1">'Nova esperança do sul'!$A$1:$E$12</definedName>
    <definedName name="DadosExternos_15" localSheetId="11" hidden="1">Unistalda!$A$1:$E$12</definedName>
    <definedName name="DadosExternos_16" localSheetId="10" hidden="1">'Santa margarida do sul'!$A$1:$E$12</definedName>
    <definedName name="DadosExternos_17" localSheetId="9" hidden="1">'SURPRA mesclada'!$A$1:$E$177</definedName>
    <definedName name="DadosExternos_18" localSheetId="8" hidden="1">'SURFRO mesclada'!$A$1:$E$78</definedName>
    <definedName name="DadosExternos_2" localSheetId="33" hidden="1">Alegrete!$B$1:$F$12</definedName>
    <definedName name="DadosExternos_2" localSheetId="24" hidden="1">Bossoroca!$A$1:$E$12</definedName>
    <definedName name="DadosExternos_3" localSheetId="23" hidden="1">'Cacequi'!$A$1:$E$12</definedName>
    <definedName name="DadosExternos_3" localSheetId="32" hidden="1">Itaqui!$B$1:$F$12</definedName>
    <definedName name="DadosExternos_4" localSheetId="22" hidden="1">'Dom Pedrito'!$A$1:$E$12</definedName>
    <definedName name="DadosExternos_4" localSheetId="31" hidden="1">'Manoel Viana'!$B$1:$F$12</definedName>
    <definedName name="DadosExternos_5" localSheetId="21" hidden="1">'Encruzilhada do sul'!$A$1:$E$12</definedName>
    <definedName name="DadosExternos_5" localSheetId="30" hidden="1">Quaraí!$B$1:$F$12</definedName>
    <definedName name="DadosExternos_6" localSheetId="20" hidden="1">Jaguari!$A$1:$E$12</definedName>
    <definedName name="DadosExternos_6" localSheetId="29" hidden="1">'São Borja'!$C$1:$G$12</definedName>
    <definedName name="DadosExternos_7" localSheetId="19" hidden="1">'Lavras do sul'!$A$1:$E$12</definedName>
    <definedName name="DadosExternos_7" localSheetId="28" hidden="1">Maçambará!$B$1:$F$12</definedName>
    <definedName name="DadosExternos_8" localSheetId="27" hidden="1">'Barra do quaraí'!$C$1:$G$12</definedName>
    <definedName name="DadosExternos_8" localSheetId="18" hidden="1">'Rosário do sul'!$A$1:$E$12</definedName>
    <definedName name="DadosExternos_9" localSheetId="17" hidden="1">'Santada da boa vista'!$A$1:$E$12</definedName>
    <definedName name="SegmentaçãodeDados_Anos">#N/A</definedName>
    <definedName name="SegmentaçãodeDados_CIDADE">#N/A</definedName>
    <definedName name="SegmentaçãodeDados_REGIONAL">#N/A</definedName>
  </definedNames>
  <calcPr calcId="191028"/>
  <pivotCaches>
    <pivotCache cacheId="0" r:id="rId36"/>
  </pivotCaches>
  <extLst>
    <ext xmlns:x14="http://schemas.microsoft.com/office/spreadsheetml/2009/9/main" uri="{BBE1A952-AA13-448e-AADC-164F8A28A991}">
      <x14:slicerCaches>
        <x14:slicerCache r:id="rId37"/>
        <x14:slicerCache r:id="rId38"/>
        <x14:slicerCache r:id="rId3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3" l="1"/>
  <c r="F3" i="33"/>
  <c r="F4" i="33"/>
  <c r="F5" i="33"/>
  <c r="F6" i="33"/>
  <c r="F7" i="33"/>
  <c r="F8" i="33"/>
  <c r="F9" i="33"/>
  <c r="F10" i="33"/>
  <c r="F11" i="33"/>
  <c r="F12" i="33"/>
  <c r="F13" i="33"/>
  <c r="F14" i="33"/>
  <c r="F15" i="33"/>
  <c r="F16" i="33"/>
  <c r="F17" i="33"/>
  <c r="F18" i="33"/>
  <c r="F19" i="33"/>
  <c r="F20" i="33"/>
  <c r="F21" i="33"/>
  <c r="F23" i="33"/>
  <c r="F25" i="33"/>
  <c r="F26" i="33"/>
  <c r="F27" i="33"/>
  <c r="F28" i="33"/>
  <c r="F29" i="33"/>
  <c r="F30" i="33"/>
  <c r="F31" i="33"/>
  <c r="F32" i="33"/>
  <c r="F33" i="33"/>
  <c r="F34" i="33"/>
  <c r="F35" i="33"/>
  <c r="F36" i="33"/>
  <c r="F37" i="33"/>
  <c r="F38" i="33"/>
  <c r="F39" i="33"/>
  <c r="F40" i="33"/>
  <c r="F41" i="33"/>
  <c r="F42" i="33"/>
  <c r="F43" i="33"/>
  <c r="F44" i="33"/>
  <c r="F46" i="33"/>
  <c r="F47" i="33"/>
  <c r="F48" i="33"/>
  <c r="F49" i="33"/>
  <c r="F50" i="33"/>
  <c r="F51" i="33"/>
  <c r="F52" i="33"/>
  <c r="F53" i="33"/>
  <c r="F54" i="33"/>
  <c r="F55" i="33"/>
  <c r="F56" i="33"/>
  <c r="F57" i="33"/>
  <c r="F58" i="33"/>
  <c r="F61" i="33"/>
  <c r="B21" i="42"/>
  <c r="B19" i="42"/>
  <c r="B17" i="42"/>
  <c r="B18" i="42"/>
  <c r="B124" i="36" l="1"/>
  <c r="B125" i="36" s="1"/>
  <c r="B126" i="36" s="1"/>
  <c r="B127" i="36" s="1"/>
  <c r="B128" i="36" s="1"/>
  <c r="B129" i="36" s="1"/>
  <c r="B130" i="36" s="1"/>
  <c r="B131" i="36" s="1"/>
  <c r="B132" i="36" s="1"/>
  <c r="B133" i="36" s="1"/>
  <c r="B134" i="36" s="1"/>
  <c r="B135" i="36" s="1"/>
  <c r="B136" i="36" s="1"/>
  <c r="B137" i="36" s="1"/>
  <c r="B138" i="36" s="1"/>
  <c r="B139" i="36" s="1"/>
  <c r="B140" i="36" s="1"/>
  <c r="B141" i="36" s="1"/>
  <c r="B142" i="36" s="1"/>
  <c r="B143" i="36" s="1"/>
  <c r="B144" i="36" s="1"/>
  <c r="B145" i="36" s="1"/>
  <c r="B146" i="36" s="1"/>
  <c r="B147" i="36"/>
  <c r="B148" i="36"/>
  <c r="B149" i="36"/>
  <c r="B150" i="36"/>
  <c r="B151" i="36"/>
  <c r="B152" i="36"/>
  <c r="B153" i="36"/>
  <c r="B154" i="36"/>
  <c r="B155" i="36"/>
  <c r="B156" i="36" s="1"/>
  <c r="B157" i="36" s="1"/>
  <c r="B158" i="36" s="1"/>
  <c r="B159" i="36" s="1"/>
  <c r="B160" i="36" s="1"/>
  <c r="B161" i="36" s="1"/>
  <c r="B162" i="36" s="1"/>
  <c r="B163" i="36" s="1"/>
  <c r="B164" i="36" s="1"/>
  <c r="B165" i="36" s="1"/>
  <c r="B166" i="36" s="1"/>
  <c r="B167" i="36" s="1"/>
  <c r="B168" i="36" s="1"/>
  <c r="B169" i="36" s="1"/>
  <c r="B170" i="36" s="1"/>
  <c r="B171" i="36" s="1"/>
  <c r="B172" i="36" s="1"/>
  <c r="B173" i="36" s="1"/>
  <c r="B174" i="36" s="1"/>
  <c r="B175" i="36" s="1"/>
  <c r="B176" i="36" s="1"/>
  <c r="B177" i="36" s="1"/>
  <c r="B178" i="36"/>
  <c r="B179" i="36"/>
  <c r="B180" i="36"/>
  <c r="B181" i="36"/>
  <c r="B182" i="36"/>
  <c r="B183" i="36"/>
  <c r="B184" i="36"/>
  <c r="B185" i="36"/>
  <c r="B186" i="36"/>
  <c r="B187" i="36"/>
  <c r="B188" i="36" s="1"/>
  <c r="B189" i="36" s="1"/>
  <c r="B190" i="36" s="1"/>
  <c r="B191" i="36" s="1"/>
  <c r="B192" i="36" s="1"/>
  <c r="B193" i="36" s="1"/>
  <c r="B194" i="36" s="1"/>
  <c r="B195" i="36" s="1"/>
  <c r="B196" i="36" s="1"/>
  <c r="B197" i="36" s="1"/>
  <c r="B198" i="36" s="1"/>
  <c r="B199" i="36" s="1"/>
  <c r="B200" i="36" s="1"/>
  <c r="B201" i="36" s="1"/>
  <c r="B202" i="36" s="1"/>
  <c r="B203" i="36" s="1"/>
  <c r="B204" i="36" s="1"/>
  <c r="B205" i="36" s="1"/>
  <c r="B206" i="36" s="1"/>
  <c r="B207" i="36" s="1"/>
  <c r="B208" i="36" s="1"/>
  <c r="B209" i="36" s="1"/>
  <c r="B210" i="36" s="1"/>
  <c r="B211" i="36"/>
  <c r="B212" i="36"/>
  <c r="B213" i="36"/>
  <c r="B214" i="36"/>
  <c r="B215" i="36"/>
  <c r="B216" i="36"/>
  <c r="B217" i="36"/>
  <c r="B218" i="36"/>
  <c r="B219" i="36"/>
  <c r="B220" i="36" s="1"/>
  <c r="B221" i="36" s="1"/>
  <c r="B222" i="36" s="1"/>
  <c r="B223" i="36" s="1"/>
  <c r="B224" i="36" s="1"/>
  <c r="B225" i="36" s="1"/>
  <c r="B226" i="36" s="1"/>
  <c r="B227" i="36" s="1"/>
  <c r="B228" i="36" s="1"/>
  <c r="B229" i="36" s="1"/>
  <c r="B230" i="36" s="1"/>
  <c r="B231" i="36" s="1"/>
  <c r="B232" i="36" s="1"/>
  <c r="B233" i="36" s="1"/>
  <c r="B234" i="36" s="1"/>
  <c r="B235" i="36" s="1"/>
  <c r="B236" i="36" s="1"/>
  <c r="B237" i="36" s="1"/>
  <c r="B238" i="36" s="1"/>
  <c r="B239" i="36" s="1"/>
  <c r="B240" i="36" s="1"/>
  <c r="B241" i="36" s="1"/>
  <c r="B242" i="36" s="1"/>
  <c r="B243" i="36"/>
  <c r="B244" i="36"/>
  <c r="B245" i="36"/>
  <c r="B246" i="36" s="1"/>
  <c r="B247" i="36" s="1"/>
  <c r="B248" i="36" s="1"/>
  <c r="B249" i="36" s="1"/>
  <c r="B250" i="36" s="1"/>
  <c r="B251" i="36" s="1"/>
  <c r="B252" i="36" s="1"/>
  <c r="B253" i="36" s="1"/>
  <c r="B254" i="36" s="1"/>
  <c r="B255" i="36" s="1"/>
  <c r="B96" i="36"/>
  <c r="B97" i="36"/>
  <c r="B98" i="36"/>
  <c r="B99" i="36"/>
  <c r="B100" i="36"/>
  <c r="B101" i="36"/>
  <c r="B102" i="36"/>
  <c r="B103" i="36"/>
  <c r="B104" i="36"/>
  <c r="B105" i="36"/>
  <c r="B106" i="36" s="1"/>
  <c r="B107" i="36" s="1"/>
  <c r="B108" i="36" s="1"/>
  <c r="B109" i="36" s="1"/>
  <c r="B110" i="36" s="1"/>
  <c r="B111" i="36" s="1"/>
  <c r="B112" i="36" s="1"/>
  <c r="B113" i="36" s="1"/>
  <c r="B114" i="36" s="1"/>
  <c r="B115" i="36" s="1"/>
  <c r="B116" i="36" s="1"/>
  <c r="B117" i="36" s="1"/>
  <c r="B118" i="36" s="1"/>
  <c r="B119" i="36" s="1"/>
  <c r="B120" i="36" s="1"/>
  <c r="B121" i="36" s="1"/>
  <c r="B122" i="36" s="1"/>
  <c r="B123" i="36" s="1"/>
  <c r="B95" i="36"/>
  <c r="B16" i="42"/>
  <c r="H43" i="41"/>
  <c r="H38" i="41"/>
  <c r="B13" i="42"/>
  <c r="B14" i="42"/>
  <c r="B15" i="42"/>
  <c r="H3" i="41"/>
  <c r="H4" i="41"/>
  <c r="H5" i="41"/>
  <c r="H6" i="41"/>
  <c r="H7" i="41"/>
  <c r="H8" i="41"/>
  <c r="H9" i="41"/>
  <c r="H10" i="41"/>
  <c r="H11" i="41"/>
  <c r="H12" i="41"/>
  <c r="H13" i="41"/>
  <c r="H14" i="41"/>
  <c r="H15" i="41"/>
  <c r="H16" i="41"/>
  <c r="H17" i="41"/>
  <c r="H18" i="41"/>
  <c r="H19" i="41"/>
  <c r="H20" i="41"/>
  <c r="H22" i="41"/>
  <c r="H21" i="41"/>
  <c r="H23" i="41"/>
  <c r="H24" i="41"/>
  <c r="H25" i="41"/>
  <c r="H26" i="41"/>
  <c r="H27" i="41"/>
  <c r="H28" i="41"/>
  <c r="H29" i="41"/>
  <c r="H30" i="41"/>
  <c r="H31" i="41"/>
  <c r="H32" i="41"/>
  <c r="H33" i="41"/>
  <c r="H34" i="41"/>
  <c r="H36" i="41"/>
  <c r="H37" i="41"/>
  <c r="H39" i="41"/>
  <c r="H40" i="41"/>
  <c r="H41" i="41"/>
  <c r="H42" i="41"/>
  <c r="H44" i="41"/>
  <c r="H45" i="41"/>
  <c r="H46" i="41"/>
  <c r="H47" i="41"/>
  <c r="H48" i="41"/>
  <c r="H50" i="41"/>
  <c r="H51" i="41"/>
  <c r="H52" i="41"/>
  <c r="H53" i="41"/>
  <c r="H35" i="41"/>
  <c r="H49" i="41"/>
  <c r="B12" i="42"/>
  <c r="B11" i="42"/>
  <c r="B10" i="42"/>
  <c r="B9" i="42"/>
  <c r="B8" i="42"/>
  <c r="B7" i="42"/>
  <c r="B6" i="42"/>
  <c r="B5" i="42"/>
  <c r="B4" i="42"/>
  <c r="B3" i="42"/>
  <c r="B3" i="36" l="1"/>
  <c r="B4" i="36" s="1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B32" i="36" s="1"/>
  <c r="B33" i="36" s="1"/>
  <c r="B34" i="36" s="1"/>
  <c r="B35" i="36" s="1"/>
  <c r="B36" i="36" s="1"/>
  <c r="B37" i="36" s="1"/>
  <c r="B38" i="36" s="1"/>
  <c r="B39" i="36" s="1"/>
  <c r="B40" i="36" s="1"/>
  <c r="B41" i="36" s="1"/>
  <c r="B42" i="36" s="1"/>
  <c r="B43" i="36" s="1"/>
  <c r="B44" i="36" s="1"/>
  <c r="B45" i="36" s="1"/>
  <c r="B46" i="36" s="1"/>
  <c r="B47" i="36" s="1"/>
  <c r="B48" i="36" s="1"/>
  <c r="B49" i="36" s="1"/>
  <c r="B50" i="36" s="1"/>
  <c r="B51" i="36" s="1"/>
  <c r="B52" i="36" s="1"/>
  <c r="B53" i="36" s="1"/>
  <c r="B54" i="36" s="1"/>
  <c r="B55" i="36" s="1"/>
  <c r="B56" i="36" s="1"/>
  <c r="B57" i="36" s="1"/>
  <c r="B58" i="36" s="1"/>
  <c r="B59" i="36" s="1"/>
  <c r="B60" i="36" s="1"/>
  <c r="B61" i="36" s="1"/>
  <c r="B62" i="36" s="1"/>
  <c r="B63" i="36" s="1"/>
  <c r="B64" i="36" s="1"/>
  <c r="B65" i="36" s="1"/>
  <c r="B66" i="36" s="1"/>
  <c r="B67" i="36" s="1"/>
  <c r="B68" i="36" s="1"/>
  <c r="B69" i="36" s="1"/>
  <c r="B70" i="36" s="1"/>
  <c r="B71" i="36" s="1"/>
  <c r="B72" i="36" s="1"/>
  <c r="B73" i="36" s="1"/>
  <c r="B74" i="36" s="1"/>
  <c r="B75" i="36" s="1"/>
  <c r="B76" i="36" s="1"/>
  <c r="B77" i="36" s="1"/>
  <c r="B78" i="36" s="1"/>
  <c r="B79" i="36" s="1"/>
  <c r="B80" i="36" s="1"/>
  <c r="B81" i="36" s="1"/>
  <c r="B82" i="36" s="1"/>
  <c r="B83" i="36" s="1"/>
  <c r="B84" i="36" s="1"/>
  <c r="B85" i="36" s="1"/>
  <c r="B86" i="36" s="1"/>
  <c r="B87" i="36" s="1"/>
  <c r="B88" i="36" s="1"/>
  <c r="B89" i="36" s="1"/>
  <c r="B90" i="36" s="1"/>
  <c r="B91" i="36" s="1"/>
  <c r="B92" i="36" s="1"/>
  <c r="B93" i="36" s="1"/>
  <c r="B94" i="3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9A46FC-2897-49CD-A30E-C108987BD85A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06B57354-0AA7-4C7F-879A-23F271DB9D21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3" xr16:uid="{A1EA12F1-7F4C-49CB-9F23-966C7DB1BC80}" keepAlive="1" name="Consulta - PDF's mensais" description="Conexão com a consulta 'PDF's mensais' na pasta de trabalho." type="5" refreshedVersion="0" background="1">
    <dbPr connection="Provider=Microsoft.Mashup.OleDb.1;Data Source=$Workbook$;Location=&quot;PDF's mensais&quot;;Extended Properties=&quot;&quot;" command="SELECT * FROM [PDF's mensais]"/>
  </connection>
  <connection id="4" xr16:uid="{3767B417-168B-44E8-BE02-1E9D15982A4F}" keepAlive="1" name="Consulta - Tabela_antiga" description="Conexão com a consulta 'Tabela_antiga' na pasta de trabalho." type="5" refreshedVersion="8" background="1" saveData="1">
    <dbPr connection="Provider=Microsoft.Mashup.OleDb.1;Data Source=$Workbook$;Location=Tabela_antiga;Extended Properties=&quot;&quot;" command="SELECT * FROM [Tabela_antiga]"/>
  </connection>
  <connection id="5" xr16:uid="{3B462614-6F91-4A71-9F93-8D0E62F0EB5B}" keepAlive="1" name="Consulta - Tabela29" description="Conexão com a consulta 'Tabela29' na pasta de trabalho." type="5" refreshedVersion="0" background="1" saveData="1">
    <dbPr connection="Provider=Microsoft.Mashup.OleDb.1;Data Source=$Workbook$;Location=Tabela29;Extended Properties=&quot;&quot;" command="SELECT * FROM [Tabela29]"/>
  </connection>
  <connection id="6" xr16:uid="{3F042E13-53A5-4B49-BDE7-EFA975A751D4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7" xr16:uid="{8E2EF00B-FB4E-4E20-A02D-1C42EAC8F62D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</connections>
</file>

<file path=xl/sharedStrings.xml><?xml version="1.0" encoding="utf-8"?>
<sst xmlns="http://schemas.openxmlformats.org/spreadsheetml/2006/main" count="6645" uniqueCount="2014">
  <si>
    <t>REGIONAL</t>
  </si>
  <si>
    <t>mês</t>
  </si>
  <si>
    <t>CIDADE</t>
  </si>
  <si>
    <t>Vol. Disponibilizado - VD (m³)</t>
  </si>
  <si>
    <t>Vol. Consumido - VF (m³)</t>
  </si>
  <si>
    <t>NRW (m³)</t>
  </si>
  <si>
    <t>NRW (%)</t>
  </si>
  <si>
    <t>Regional</t>
  </si>
  <si>
    <t>Cidade</t>
  </si>
  <si>
    <t>SURPA</t>
  </si>
  <si>
    <t>ACEGUÁ</t>
  </si>
  <si>
    <t>SURFRO</t>
  </si>
  <si>
    <t>ALEGRETE</t>
  </si>
  <si>
    <t>BARRA DO QUARAÍ</t>
  </si>
  <si>
    <t>BOSSOROCA</t>
  </si>
  <si>
    <t>CAÇAPAVA DO SUL</t>
  </si>
  <si>
    <t>CACEQUI</t>
  </si>
  <si>
    <t>DOM PEDRITO</t>
  </si>
  <si>
    <t>ENCRUZILHADA</t>
  </si>
  <si>
    <t>ITAQUI</t>
  </si>
  <si>
    <t>JAGUARI</t>
  </si>
  <si>
    <t>LAVRAS DO SUL</t>
  </si>
  <si>
    <t>MAÇAMBARÁ</t>
  </si>
  <si>
    <t>MANOEL VIANA</t>
  </si>
  <si>
    <t>NOVA ESPERANÇA DO SUL</t>
  </si>
  <si>
    <t>QUARAÍ</t>
  </si>
  <si>
    <t>ROSÁRIO DO SUL</t>
  </si>
  <si>
    <t>SANTA MARGARIDA DO SUL</t>
  </si>
  <si>
    <t>SANTANA DA BOA VISTA</t>
  </si>
  <si>
    <t>SANTIAGO</t>
  </si>
  <si>
    <t>SÃO BORJA</t>
  </si>
  <si>
    <t>SÃO FRANCISCO DE ASSIS</t>
  </si>
  <si>
    <t>SÃO VICENTE DO SUL</t>
  </si>
  <si>
    <t>UNISTALDA</t>
  </si>
  <si>
    <t>Mês</t>
  </si>
  <si>
    <t>VD - Volume Disponibilizado (m³)</t>
  </si>
  <si>
    <t>VC - Volume Consumido (m³)</t>
  </si>
  <si>
    <t>Aceguá</t>
  </si>
  <si>
    <t>Alegrete</t>
  </si>
  <si>
    <t>Barra do Quaraí</t>
  </si>
  <si>
    <t>Bossoroca</t>
  </si>
  <si>
    <t>Caçapava do sul</t>
  </si>
  <si>
    <t>Cacequi</t>
  </si>
  <si>
    <t>Dom pedrito</t>
  </si>
  <si>
    <t>Encruzilhada do sul</t>
  </si>
  <si>
    <t>Itaqui</t>
  </si>
  <si>
    <t>Jaguari</t>
  </si>
  <si>
    <t>Lavras do sul</t>
  </si>
  <si>
    <t>Maçambará</t>
  </si>
  <si>
    <t>Manoel Viana</t>
  </si>
  <si>
    <t>Nova esperança do sul</t>
  </si>
  <si>
    <t>Quaraí</t>
  </si>
  <si>
    <t>Rosário do sul</t>
  </si>
  <si>
    <t>Santa margarida do sul</t>
  </si>
  <si>
    <t>Santana da boa vista</t>
  </si>
  <si>
    <t>Santiago</t>
  </si>
  <si>
    <t>São Borja</t>
  </si>
  <si>
    <t>São Francisco de Assis</t>
  </si>
  <si>
    <t>São vicente do sul</t>
  </si>
  <si>
    <t>Unistalda</t>
  </si>
  <si>
    <t>Macrorregião</t>
  </si>
  <si>
    <t>US_acentuados</t>
  </si>
  <si>
    <t>Microregião</t>
  </si>
  <si>
    <t>Km rede</t>
  </si>
  <si>
    <t>Cidades_juntas</t>
  </si>
  <si>
    <t>US_Maiusculas</t>
  </si>
  <si>
    <t>DIRETORIA</t>
  </si>
  <si>
    <t>Superintendência</t>
  </si>
  <si>
    <t>COD_US_PLANJ</t>
  </si>
  <si>
    <t>COD-DIRETORIA</t>
  </si>
  <si>
    <t>Diretoria</t>
  </si>
  <si>
    <t>COD-US</t>
  </si>
  <si>
    <t>US</t>
  </si>
  <si>
    <t>US_MAIUSCULO</t>
  </si>
  <si>
    <t>Ident. Componente</t>
  </si>
  <si>
    <t>G5.3 - Santa Rosa</t>
  </si>
  <si>
    <t>Alecrim</t>
  </si>
  <si>
    <t>5.2 - Santa Rosa</t>
  </si>
  <si>
    <t>ALECRIM</t>
  </si>
  <si>
    <t>G5</t>
  </si>
  <si>
    <t>SURMIS</t>
  </si>
  <si>
    <t>M1</t>
  </si>
  <si>
    <t>G1-SURLIT</t>
  </si>
  <si>
    <t>G1</t>
  </si>
  <si>
    <t>SURLIT</t>
  </si>
  <si>
    <t>G5-SURFRO-ALE</t>
  </si>
  <si>
    <t>Central</t>
  </si>
  <si>
    <t>Agudo</t>
  </si>
  <si>
    <t>AGUDO</t>
  </si>
  <si>
    <t>ETE I (Rosário do Sul)</t>
  </si>
  <si>
    <t>Rosário do Sul</t>
  </si>
  <si>
    <t>G5.1 - Alegrete</t>
  </si>
  <si>
    <t>5.1 - Alegrete</t>
  </si>
  <si>
    <t>T0</t>
  </si>
  <si>
    <t>G1-SURMET</t>
  </si>
  <si>
    <t>SURMET</t>
  </si>
  <si>
    <t>G4-SURSIN-CHA</t>
  </si>
  <si>
    <t>Ajuricaba</t>
  </si>
  <si>
    <t>AJURICABA</t>
  </si>
  <si>
    <t>SES / CR Lot. Popular (Barra do Quaraí)</t>
  </si>
  <si>
    <t>Barra Do Guarita</t>
  </si>
  <si>
    <t>5.7 - Três Passos</t>
  </si>
  <si>
    <t>BARRA DO GUARITA</t>
  </si>
  <si>
    <t>NL</t>
  </si>
  <si>
    <t>G2-SURCEN</t>
  </si>
  <si>
    <t>G2</t>
  </si>
  <si>
    <t>SURCEN</t>
  </si>
  <si>
    <t>G4-SURSIN-DOI</t>
  </si>
  <si>
    <t>Alto Alegre</t>
  </si>
  <si>
    <t>ALTO ALEGRE</t>
  </si>
  <si>
    <t>SES Loteamento Popular (Barra do Quaraí)</t>
  </si>
  <si>
    <t>5.5 - São Borja</t>
  </si>
  <si>
    <t>BARRA DO QUARAI</t>
  </si>
  <si>
    <t>T6</t>
  </si>
  <si>
    <t>G2-SURMIS</t>
  </si>
  <si>
    <t>G4-SURSIN-PAR</t>
  </si>
  <si>
    <t>Arroio do Meio</t>
  </si>
  <si>
    <t>ARROIO DO MEIO</t>
  </si>
  <si>
    <t>SES Fossa 01 (Barra do Quaraí)</t>
  </si>
  <si>
    <t>Boa Vista do Buricá</t>
  </si>
  <si>
    <t>BOA VISTA DO BURICA</t>
  </si>
  <si>
    <t>M2</t>
  </si>
  <si>
    <t>G3-SURNE</t>
  </si>
  <si>
    <t>G3</t>
  </si>
  <si>
    <t>SURNE</t>
  </si>
  <si>
    <t>G5-SURFRO-BAR</t>
  </si>
  <si>
    <t>Arroio do Tigre</t>
  </si>
  <si>
    <t>ARROIO DO TIGRE</t>
  </si>
  <si>
    <t>SES Fossa 02 (Barra do Quaraí)</t>
  </si>
  <si>
    <t>Bom Progresso</t>
  </si>
  <si>
    <t>BOM PROGRESSO</t>
  </si>
  <si>
    <t>NR</t>
  </si>
  <si>
    <t>G3-SURPLA</t>
  </si>
  <si>
    <t>SURPLA</t>
  </si>
  <si>
    <t>G4-SURSIN-ROL</t>
  </si>
  <si>
    <t>Arvorezinha</t>
  </si>
  <si>
    <t>ARVOREZINHA</t>
  </si>
  <si>
    <t>SES Fossa 03 (Barra do Quaraí)</t>
  </si>
  <si>
    <t>G5.2 - Santo Ângelo</t>
  </si>
  <si>
    <t>5.4 - Santiago</t>
  </si>
  <si>
    <t>V0</t>
  </si>
  <si>
    <t>G4-SURSIN</t>
  </si>
  <si>
    <t>G4</t>
  </si>
  <si>
    <t>SURSIN</t>
  </si>
  <si>
    <t>G5-SURFRO-ITA</t>
  </si>
  <si>
    <t>Barros Cassal</t>
  </si>
  <si>
    <t>BARROS CASSAL</t>
  </si>
  <si>
    <t>SES Fossa 04 (Barra do Quaraí)</t>
  </si>
  <si>
    <t>Braga</t>
  </si>
  <si>
    <t>BRAGA</t>
  </si>
  <si>
    <t>M3</t>
  </si>
  <si>
    <t>G4-SURSUL</t>
  </si>
  <si>
    <t>SURSUL</t>
  </si>
  <si>
    <t>G4-SURSUL-CHU</t>
  </si>
  <si>
    <t>Bom Retiro Do Sul</t>
  </si>
  <si>
    <t>BOM RETIRO DO SUL</t>
  </si>
  <si>
    <t>SES / CR Fossa 01 (Barra do Quaraí)</t>
  </si>
  <si>
    <t>5.3 - Rosário</t>
  </si>
  <si>
    <t>V2</t>
  </si>
  <si>
    <t>G5-SURFRO</t>
  </si>
  <si>
    <t>G5-SURFRO-MAÇ</t>
  </si>
  <si>
    <t>Boqueirão do Leão</t>
  </si>
  <si>
    <t>BOQUEIRAO DO LEAO</t>
  </si>
  <si>
    <t>ETE / CR Jarau (Quaraí)</t>
  </si>
  <si>
    <t>Caibaté</t>
  </si>
  <si>
    <t>CAIBATE</t>
  </si>
  <si>
    <t>M4</t>
  </si>
  <si>
    <t>G5-SURPA</t>
  </si>
  <si>
    <t>G4-SURSUL-DOM</t>
  </si>
  <si>
    <t>Caçapava do Sul</t>
  </si>
  <si>
    <t>CACAPAVA DO SUL</t>
  </si>
  <si>
    <t>ETE Jarau (Quaraí)</t>
  </si>
  <si>
    <t>Campina das Missões</t>
  </si>
  <si>
    <t>5.6 - Santo Angelo</t>
  </si>
  <si>
    <t>CAMPINA DAS MISSOES</t>
  </si>
  <si>
    <t>M5</t>
  </si>
  <si>
    <t>G4-SURSUL-HER</t>
  </si>
  <si>
    <t>Cachoeira Do Sul</t>
  </si>
  <si>
    <t>CACHOEIRA DO SUL</t>
  </si>
  <si>
    <t>ETE / CR II - Areias Brancas (Rosário do Sul)</t>
  </si>
  <si>
    <t>Campo Novo</t>
  </si>
  <si>
    <t>CAMPO NOVO</t>
  </si>
  <si>
    <t>M6</t>
  </si>
  <si>
    <t>G4-SURSIN-EST</t>
  </si>
  <si>
    <t>Campos Borges</t>
  </si>
  <si>
    <t>CAMPOS BORGES</t>
  </si>
  <si>
    <t>ETE II - Areias Brancas (Rosário do Sul)</t>
  </si>
  <si>
    <t>Cândido Godói</t>
  </si>
  <si>
    <t>CANDIDO GODOI</t>
  </si>
  <si>
    <t>M8</t>
  </si>
  <si>
    <t>G5-SURFRO-QUA</t>
  </si>
  <si>
    <t>Candelária</t>
  </si>
  <si>
    <t>CANDELARIA</t>
  </si>
  <si>
    <t>ETE Arno Nicolau Heck (Dom Pedrito)</t>
  </si>
  <si>
    <t>Dom Pedrito</t>
  </si>
  <si>
    <t>Cerro Largo</t>
  </si>
  <si>
    <t>CERRO LARGO</t>
  </si>
  <si>
    <t>MA</t>
  </si>
  <si>
    <t>G4-SURSUL-SAN</t>
  </si>
  <si>
    <t>Carazinho</t>
  </si>
  <si>
    <t>CARAZINHO</t>
  </si>
  <si>
    <t>ETE / CR Cacequi</t>
  </si>
  <si>
    <t>Chiapetta</t>
  </si>
  <si>
    <t>CHIAPETTA</t>
  </si>
  <si>
    <t>MB</t>
  </si>
  <si>
    <t>G3-SURNE-EST</t>
  </si>
  <si>
    <t>Catuípe</t>
  </si>
  <si>
    <t>CATUIPE</t>
  </si>
  <si>
    <t>ETE Cacequi</t>
  </si>
  <si>
    <t>Coronel Bicaco</t>
  </si>
  <si>
    <t>CORONEL BICACO</t>
  </si>
  <si>
    <t>ME</t>
  </si>
  <si>
    <t>G3-SURNE-FAG</t>
  </si>
  <si>
    <t>Chapada</t>
  </si>
  <si>
    <t>CHAPADA</t>
  </si>
  <si>
    <t>ETE São Borja</t>
  </si>
  <si>
    <t>Crissiumal</t>
  </si>
  <si>
    <t>CRISSIUMAL</t>
  </si>
  <si>
    <t>MF</t>
  </si>
  <si>
    <t>G4-SURSIN-IGR</t>
  </si>
  <si>
    <t>Colorado</t>
  </si>
  <si>
    <t>COLORADO</t>
  </si>
  <si>
    <t>ETE / CR São Borja</t>
  </si>
  <si>
    <t>Derrubadas</t>
  </si>
  <si>
    <t>DERRUBADAS</t>
  </si>
  <si>
    <t>NP</t>
  </si>
  <si>
    <t>G4-SURSIN-MAR</t>
  </si>
  <si>
    <t>Condor</t>
  </si>
  <si>
    <t>CONDOR</t>
  </si>
  <si>
    <t>ETE Ibirapuitã (Alegrete)</t>
  </si>
  <si>
    <t>V3</t>
  </si>
  <si>
    <t>G4-SURSIN-MIN</t>
  </si>
  <si>
    <t>Cruz Alta</t>
  </si>
  <si>
    <t>CRUZ ALTA</t>
  </si>
  <si>
    <t>ETE / CR Ibirapuitã (Alegrete)</t>
  </si>
  <si>
    <t>Entre-Ijuís</t>
  </si>
  <si>
    <t>ENTRE IJUIS</t>
  </si>
  <si>
    <t>MI</t>
  </si>
  <si>
    <t>G4-SURSUL-AMA</t>
  </si>
  <si>
    <t>Cruzeiro Do Sul</t>
  </si>
  <si>
    <t>CRUZEIRO DO SUL</t>
  </si>
  <si>
    <t>ETE / CR Arno Nicolau Heck (Dom Pedrito)</t>
  </si>
  <si>
    <t>Giruá</t>
  </si>
  <si>
    <t>GIRUA</t>
  </si>
  <si>
    <t>MJ</t>
  </si>
  <si>
    <t>G5-SURFRO-SAO</t>
  </si>
  <si>
    <t>Dilermando De Aguiar</t>
  </si>
  <si>
    <t>DILERMANDO DE AGUIAR</t>
  </si>
  <si>
    <t>SES Fossa Lot. São Fernando (Quaraí)</t>
  </si>
  <si>
    <t>Guarani das Missões</t>
  </si>
  <si>
    <t>GUARANI DAS MISSOES</t>
  </si>
  <si>
    <t>MK</t>
  </si>
  <si>
    <t>G5-SURPA-ACE</t>
  </si>
  <si>
    <t>Dona Francisca</t>
  </si>
  <si>
    <t>DONA FRANCISCA</t>
  </si>
  <si>
    <t>SES / CR Fossa Lot. São Fernando (Quaraí)</t>
  </si>
  <si>
    <t>Horizontina</t>
  </si>
  <si>
    <t>HORIZONTINA</t>
  </si>
  <si>
    <t>ML</t>
  </si>
  <si>
    <t>G3-SURNE-IPE</t>
  </si>
  <si>
    <t>Encantado</t>
  </si>
  <si>
    <t>ENCANTADO</t>
  </si>
  <si>
    <t>SES / CR Lagoa do Matadouro (Quaraí)</t>
  </si>
  <si>
    <t>Humaitá</t>
  </si>
  <si>
    <t>HUMAITA</t>
  </si>
  <si>
    <t>ND</t>
  </si>
  <si>
    <t>G3-SURNE-ITA</t>
  </si>
  <si>
    <t>Encruzilhada Do Sul</t>
  </si>
  <si>
    <t>ENCRUZILHADA DO SUL</t>
  </si>
  <si>
    <t>SES Lagoa do Matadouro (Quaraí)</t>
  </si>
  <si>
    <t>Independência</t>
  </si>
  <si>
    <t>INDEPENDENCIA</t>
  </si>
  <si>
    <t>NO</t>
  </si>
  <si>
    <t>G4-SURSIN-MOR</t>
  </si>
  <si>
    <t>Espumoso</t>
  </si>
  <si>
    <t>ESPUMOSO</t>
  </si>
  <si>
    <t>SES Lagoa Celina Martins (Quaraí)</t>
  </si>
  <si>
    <t>Inhacorá</t>
  </si>
  <si>
    <t>INHACORA</t>
  </si>
  <si>
    <t>T1</t>
  </si>
  <si>
    <t>G3-SURNE-PAR</t>
  </si>
  <si>
    <t>Estrela</t>
  </si>
  <si>
    <t>ESTRELA</t>
  </si>
  <si>
    <t>V5</t>
  </si>
  <si>
    <t>G5-SURPA-BOS</t>
  </si>
  <si>
    <t>Faxinal Do Soturno</t>
  </si>
  <si>
    <t>FAXINAL DO SOTURNO</t>
  </si>
  <si>
    <t/>
  </si>
  <si>
    <t>T5</t>
  </si>
  <si>
    <t>G3-SURNE-SAL</t>
  </si>
  <si>
    <t>Feliz</t>
  </si>
  <si>
    <t>FELIZ</t>
  </si>
  <si>
    <t>MACAMBARA</t>
  </si>
  <si>
    <t>T2</t>
  </si>
  <si>
    <t>G3-SURNE-SAO</t>
  </si>
  <si>
    <t>Fontoura Xavier</t>
  </si>
  <si>
    <t>FONTOURA XAVIER</t>
  </si>
  <si>
    <t>NE</t>
  </si>
  <si>
    <t>G5-SURPA-CAC</t>
  </si>
  <si>
    <t>Formigueiro</t>
  </si>
  <si>
    <t>FORMIGUEIRO</t>
  </si>
  <si>
    <t>Dr. Maurício Cardoso</t>
  </si>
  <si>
    <t>MAURICIO CARDOSO</t>
  </si>
  <si>
    <t>NF</t>
  </si>
  <si>
    <t>G4-SURSIN-NOV</t>
  </si>
  <si>
    <t>Fortaleza Dos Valos</t>
  </si>
  <si>
    <t>FORTALEZA DOS VALOS</t>
  </si>
  <si>
    <t>Miraguaí</t>
  </si>
  <si>
    <t>MIRAGUAI</t>
  </si>
  <si>
    <t>MO</t>
  </si>
  <si>
    <t>G3-SURPLA-AME</t>
  </si>
  <si>
    <t>Ibirubá</t>
  </si>
  <si>
    <t>IBIRUBA</t>
  </si>
  <si>
    <t>NOVA ESPERANCA DO SUL</t>
  </si>
  <si>
    <t>VD</t>
  </si>
  <si>
    <t>G4-SURSIN-POR</t>
  </si>
  <si>
    <t>Ijuí</t>
  </si>
  <si>
    <t>IJUI</t>
  </si>
  <si>
    <t>Porto Lucena</t>
  </si>
  <si>
    <t>PORTO LUCENA</t>
  </si>
  <si>
    <t>MR</t>
  </si>
  <si>
    <t>G4-SURSUL-CAN</t>
  </si>
  <si>
    <t>Ilópolis</t>
  </si>
  <si>
    <t>ILOPOLIS</t>
  </si>
  <si>
    <t>Porto Xavier</t>
  </si>
  <si>
    <t>PORTO XAVIER</t>
  </si>
  <si>
    <t>MS</t>
  </si>
  <si>
    <t>G3-SURPLA-BAR</t>
  </si>
  <si>
    <t>Itaara</t>
  </si>
  <si>
    <t>ITAARA</t>
  </si>
  <si>
    <t>QUARAI</t>
  </si>
  <si>
    <t>T3</t>
  </si>
  <si>
    <t>G3-SURPLA-CAC</t>
  </si>
  <si>
    <t>Itapuca</t>
  </si>
  <si>
    <t>ITAPUCA</t>
  </si>
  <si>
    <t>Redentora</t>
  </si>
  <si>
    <t>REDENTORA</t>
  </si>
  <si>
    <t>MT</t>
  </si>
  <si>
    <t>G5-SURPA-DOM</t>
  </si>
  <si>
    <t>Ivorá</t>
  </si>
  <si>
    <t>IVORA</t>
  </si>
  <si>
    <t>ROSARIO DO SUL</t>
  </si>
  <si>
    <t>V7</t>
  </si>
  <si>
    <t>G5-SURPA-ENC</t>
  </si>
  <si>
    <t>Júlio de Castilhos</t>
  </si>
  <si>
    <t>JULIO DE CASTILHOS</t>
  </si>
  <si>
    <t>Santa Rosa</t>
  </si>
  <si>
    <t>SANTA ROSA</t>
  </si>
  <si>
    <t>MW</t>
  </si>
  <si>
    <t>G5-SURPA-JAG</t>
  </si>
  <si>
    <t>Lagoa Bonita Do Sul</t>
  </si>
  <si>
    <t>LAGOA BONITA DO SUL</t>
  </si>
  <si>
    <t>V9</t>
  </si>
  <si>
    <t>G5-SURPA-LAV</t>
  </si>
  <si>
    <t>Lagoão</t>
  </si>
  <si>
    <t>LAGOAO</t>
  </si>
  <si>
    <t>Santo Ângelo</t>
  </si>
  <si>
    <t>SANTO ANGELO</t>
  </si>
  <si>
    <t>MX</t>
  </si>
  <si>
    <t>G3-SURPLA-CHA</t>
  </si>
  <si>
    <t>Lajeado</t>
  </si>
  <si>
    <t>LAJEADO</t>
  </si>
  <si>
    <t>Santo Antônio das Missões</t>
  </si>
  <si>
    <t>SANTO ANTONIO DAS MISSOES</t>
  </si>
  <si>
    <t>MZ</t>
  </si>
  <si>
    <t>G4-SURSUL-PIN</t>
  </si>
  <si>
    <t>Lavras Do Sul</t>
  </si>
  <si>
    <t>Santo Augusto</t>
  </si>
  <si>
    <t>SANTO AUGUSTO</t>
  </si>
  <si>
    <t>N0</t>
  </si>
  <si>
    <t>G3-SURPLA-ERE</t>
  </si>
  <si>
    <t>Marques De Souza</t>
  </si>
  <si>
    <t>MARQUES DE SOUZA</t>
  </si>
  <si>
    <t>Santo Cristo</t>
  </si>
  <si>
    <t>SANTO CRISTO</t>
  </si>
  <si>
    <t>N1</t>
  </si>
  <si>
    <t>G5-SURPA-NOV</t>
  </si>
  <si>
    <t>Mata</t>
  </si>
  <si>
    <t>MATA</t>
  </si>
  <si>
    <t>SAO BORJA</t>
  </si>
  <si>
    <t>T4</t>
  </si>
  <si>
    <t>G4-SURSIN-RIO</t>
  </si>
  <si>
    <t>Não-Me-Toque</t>
  </si>
  <si>
    <t>NAO-ME-TOQUE</t>
  </si>
  <si>
    <t>SAO FRANCISCO DE ASSIS</t>
  </si>
  <si>
    <t>VA</t>
  </si>
  <si>
    <t>G3-SURPLA-JAC</t>
  </si>
  <si>
    <t>Nova Bassano</t>
  </si>
  <si>
    <t>NOVA BASSANO</t>
  </si>
  <si>
    <t>São José do Inhacorá</t>
  </si>
  <si>
    <t>SAO JOSE DO INHACORA</t>
  </si>
  <si>
    <t>NQ</t>
  </si>
  <si>
    <t>G5-SURPA-ROS</t>
  </si>
  <si>
    <t>Nova Palma</t>
  </si>
  <si>
    <t>NOVA PALMA</t>
  </si>
  <si>
    <t>São Luiz Gonzaga</t>
  </si>
  <si>
    <t>SAO LUIZ GONZAGA</t>
  </si>
  <si>
    <t>N2</t>
  </si>
  <si>
    <t>G4-SURSUL-SAO</t>
  </si>
  <si>
    <t>Palmeira das Missões</t>
  </si>
  <si>
    <t>PALMEIRA DAS MISSOES</t>
  </si>
  <si>
    <t>São Martinho</t>
  </si>
  <si>
    <t>SAO MARTINHO</t>
  </si>
  <si>
    <t>N3</t>
  </si>
  <si>
    <t>G3-SURPLA-ROD</t>
  </si>
  <si>
    <t>Panambi</t>
  </si>
  <si>
    <t>PANAMBI</t>
  </si>
  <si>
    <t>São Miguel das Missões</t>
  </si>
  <si>
    <t>SAO MIGUEL DAS MISSOES</t>
  </si>
  <si>
    <t>NK</t>
  </si>
  <si>
    <t>G5-SURPA-SAN</t>
  </si>
  <si>
    <t>Pantano Grande</t>
  </si>
  <si>
    <t>PANTANO GRANDE</t>
  </si>
  <si>
    <t>São Nicolau</t>
  </si>
  <si>
    <t>SAO NICOLAU</t>
  </si>
  <si>
    <t>N4</t>
  </si>
  <si>
    <t>Passa Sete</t>
  </si>
  <si>
    <t>PASSA SETE</t>
  </si>
  <si>
    <t>SAO VICENTE DO SUL</t>
  </si>
  <si>
    <t>VB</t>
  </si>
  <si>
    <t>G3-SURPLA-SAO</t>
  </si>
  <si>
    <t>Paverama</t>
  </si>
  <si>
    <t>PAVERAMA</t>
  </si>
  <si>
    <t>Sede Nova</t>
  </si>
  <si>
    <t>SEDE NOVA</t>
  </si>
  <si>
    <t>NI</t>
  </si>
  <si>
    <t>G4-SURSIN-SAN</t>
  </si>
  <si>
    <t>Pejuçara</t>
  </si>
  <si>
    <t>PEJUCARA</t>
  </si>
  <si>
    <t>Tenente Portela</t>
  </si>
  <si>
    <t>TENENTE PORTELA</t>
  </si>
  <si>
    <t>N7</t>
  </si>
  <si>
    <t>G2-SURMIS-BOA</t>
  </si>
  <si>
    <t>Putinga</t>
  </si>
  <si>
    <t>PUTINGA</t>
  </si>
  <si>
    <t>Tiradentes do Sul</t>
  </si>
  <si>
    <t>TIRADENTES DO SUL</t>
  </si>
  <si>
    <t>NN</t>
  </si>
  <si>
    <t>G2-SURMIS-BOM</t>
  </si>
  <si>
    <t>Restinga Seca</t>
  </si>
  <si>
    <t>RESTINGA SECA</t>
  </si>
  <si>
    <t>Três de Maio</t>
  </si>
  <si>
    <t>TRES DE MAIO</t>
  </si>
  <si>
    <t>N8</t>
  </si>
  <si>
    <t>G2-SURCEN-BOQ</t>
  </si>
  <si>
    <t>Rio Pardo</t>
  </si>
  <si>
    <t>RIO PARDO</t>
  </si>
  <si>
    <t>Três Passos</t>
  </si>
  <si>
    <t>TRES PASSOS</t>
  </si>
  <si>
    <t>N9</t>
  </si>
  <si>
    <t>G1-SURLIT-SAN</t>
  </si>
  <si>
    <t>Roca Sales</t>
  </si>
  <si>
    <t>ROCA SALES</t>
  </si>
  <si>
    <t>Tucunduva</t>
  </si>
  <si>
    <t>TUCUNDUVA</t>
  </si>
  <si>
    <t>NA</t>
  </si>
  <si>
    <t>G2-SURCEN-CAN</t>
  </si>
  <si>
    <t>Salto do Jacuí</t>
  </si>
  <si>
    <t>SALTO DO JACUI</t>
  </si>
  <si>
    <t>Tuparendi</t>
  </si>
  <si>
    <t>TUPARENDI</t>
  </si>
  <si>
    <t>NB</t>
  </si>
  <si>
    <t>G2-SURCEN-DIL</t>
  </si>
  <si>
    <t>Santa Bárbara do Sul</t>
  </si>
  <si>
    <t>SANTA BARBARA DO SUL</t>
  </si>
  <si>
    <t>VF</t>
  </si>
  <si>
    <t>G4-SURSIN-SAP</t>
  </si>
  <si>
    <t>Santa Cruz Do Sul</t>
  </si>
  <si>
    <t>SANTA CRUZ DO SUL</t>
  </si>
  <si>
    <t>Vista Gaúcha</t>
  </si>
  <si>
    <t>VISTA GAUCHA</t>
  </si>
  <si>
    <t>NJ</t>
  </si>
  <si>
    <t>G2-SURCEN-DON</t>
  </si>
  <si>
    <t>Santa Margarida Do Sul</t>
  </si>
  <si>
    <t>G4-SURSUL-PIR</t>
  </si>
  <si>
    <t>Santa Maria</t>
  </si>
  <si>
    <t>SANTA MARIA</t>
  </si>
  <si>
    <t>G1-SURLIT-TOR</t>
  </si>
  <si>
    <t>Santana Da Boa Vista</t>
  </si>
  <si>
    <t>G2-SURMIS-IBI</t>
  </si>
  <si>
    <t>São José do Herval</t>
  </si>
  <si>
    <t>SAO JOSE DO HERVAL</t>
  </si>
  <si>
    <t>São Pedro do Sul</t>
  </si>
  <si>
    <t>SAO PEDRO DO SUL</t>
  </si>
  <si>
    <t>G2-SURMIS-SAN</t>
  </si>
  <si>
    <t>São Sepé</t>
  </si>
  <si>
    <t>SAO SEPE</t>
  </si>
  <si>
    <t>G2-SURMIS-CON</t>
  </si>
  <si>
    <t>Selbach</t>
  </si>
  <si>
    <t>SELBACH</t>
  </si>
  <si>
    <t>G3-SURPLA-TAP</t>
  </si>
  <si>
    <t>Silveira Martins</t>
  </si>
  <si>
    <t>SILVEIRA MARTINS</t>
  </si>
  <si>
    <t>G4-SURSIN-BAR</t>
  </si>
  <si>
    <t>Sobradinho</t>
  </si>
  <si>
    <t>SOBRADINHO</t>
  </si>
  <si>
    <t>Soledade</t>
  </si>
  <si>
    <t>SOLEDADE</t>
  </si>
  <si>
    <t>G2-SURMIS-DER</t>
  </si>
  <si>
    <t>Tapera</t>
  </si>
  <si>
    <t>TAPERA</t>
  </si>
  <si>
    <t>G2-SURMIS-TRE</t>
  </si>
  <si>
    <t>Taquari</t>
  </si>
  <si>
    <t>TAQUARI</t>
  </si>
  <si>
    <t>G2-SURMIS-ENT</t>
  </si>
  <si>
    <t>Tupanciretã</t>
  </si>
  <si>
    <t>TUPANCIRETA</t>
  </si>
  <si>
    <t>G1-SURLIT-TRA</t>
  </si>
  <si>
    <t>Venâncio Aires</t>
  </si>
  <si>
    <t>VENANCIO AIRES</t>
  </si>
  <si>
    <t>G1-SURMET-ALV</t>
  </si>
  <si>
    <t>Victor Graeff</t>
  </si>
  <si>
    <t>VICTOR GRAEFF</t>
  </si>
  <si>
    <t>G4-SURSIN-TAP</t>
  </si>
  <si>
    <t>Vila Nova Do Sul</t>
  </si>
  <si>
    <t>VILA NOVA DO SUL</t>
  </si>
  <si>
    <t>G5-SURPA-SAO</t>
  </si>
  <si>
    <t>Leste</t>
  </si>
  <si>
    <t>Alvorada</t>
  </si>
  <si>
    <t>ALVORADA</t>
  </si>
  <si>
    <t>G3-SURNE-ARR</t>
  </si>
  <si>
    <t>Arroio do Sal</t>
  </si>
  <si>
    <t>ARROIO DO SAL</t>
  </si>
  <si>
    <t>G4-SURSIN-TRE</t>
  </si>
  <si>
    <t>Balneário Pinhal</t>
  </si>
  <si>
    <t>BALNEARIO PINHAL</t>
  </si>
  <si>
    <t>G4-SURSUL-JAG</t>
  </si>
  <si>
    <t>Cachoeirinha</t>
  </si>
  <si>
    <t>CACHOEIRINHA</t>
  </si>
  <si>
    <t>G3-SURNE-BOM</t>
  </si>
  <si>
    <t>Canoas</t>
  </si>
  <si>
    <t>CANOAS</t>
  </si>
  <si>
    <t>G3-SURNE-CAM</t>
  </si>
  <si>
    <t>Capão da Canoa</t>
  </si>
  <si>
    <t>CAPAO DA CANOA</t>
  </si>
  <si>
    <t>G3-SURNE-BEN</t>
  </si>
  <si>
    <t>Capivari Do Sul</t>
  </si>
  <si>
    <t>CAPIVARI DO SUL</t>
  </si>
  <si>
    <t>G3-SURNE-FEL</t>
  </si>
  <si>
    <t>Cidreira</t>
  </si>
  <si>
    <t>CIDREIRA</t>
  </si>
  <si>
    <t>G3-SURNE-ILO</t>
  </si>
  <si>
    <t>Eldorado Do Sul</t>
  </si>
  <si>
    <t>ELDORADO DO SUL</t>
  </si>
  <si>
    <t>G3-SURNE-NOV</t>
  </si>
  <si>
    <t>Esteio</t>
  </si>
  <si>
    <t>ESTEIO</t>
  </si>
  <si>
    <t>Glorinha</t>
  </si>
  <si>
    <t>GLORINHA</t>
  </si>
  <si>
    <t>G3-SURNE-TAQ</t>
  </si>
  <si>
    <t>Gravataí</t>
  </si>
  <si>
    <t>GRAVATAI</t>
  </si>
  <si>
    <t>G3-SURNE-VER</t>
  </si>
  <si>
    <t>Guaíba</t>
  </si>
  <si>
    <t>GUAIBA</t>
  </si>
  <si>
    <t>G3-SURPLA-AUR</t>
  </si>
  <si>
    <t>Imbé</t>
  </si>
  <si>
    <t>IMBE</t>
  </si>
  <si>
    <t>Mostardas</t>
  </si>
  <si>
    <t>MOSTARDAS</t>
  </si>
  <si>
    <t>G3-SURPLA-PAI</t>
  </si>
  <si>
    <t>Osório</t>
  </si>
  <si>
    <t>OSORIO</t>
  </si>
  <si>
    <t>G3-SURNE-CAP</t>
  </si>
  <si>
    <t>Palmares Do Sul</t>
  </si>
  <si>
    <t>PALMARES DO SUL</t>
  </si>
  <si>
    <t>G2-SURMIS-BRA</t>
  </si>
  <si>
    <t>Santo Antônio da Patrulha</t>
  </si>
  <si>
    <t>SANTO ANTONIO DA PATRULHA</t>
  </si>
  <si>
    <t>G2-SURMIS-SAO</t>
  </si>
  <si>
    <t>Sapucaia Do Sul</t>
  </si>
  <si>
    <t>SAPUCAIA DO SUL</t>
  </si>
  <si>
    <t>G3-SURPLA-TRI</t>
  </si>
  <si>
    <t>Tavares</t>
  </si>
  <si>
    <t>TAVARES</t>
  </si>
  <si>
    <t>G2-SURMIS-COR</t>
  </si>
  <si>
    <t>Terra De Areia</t>
  </si>
  <si>
    <t>TERRA DE AREIA</t>
  </si>
  <si>
    <t>G2-SURMIS-CRI</t>
  </si>
  <si>
    <t>Torres</t>
  </si>
  <si>
    <t>TORRES</t>
  </si>
  <si>
    <t>G1-SURLIT-ATL</t>
  </si>
  <si>
    <t>Tramandaí</t>
  </si>
  <si>
    <t>TRAMANDAI</t>
  </si>
  <si>
    <t>G1-SURLIT-BAL</t>
  </si>
  <si>
    <t>Três Cachoeiras</t>
  </si>
  <si>
    <t>TRES CACHOEIRAS</t>
  </si>
  <si>
    <t>Viamão</t>
  </si>
  <si>
    <t>VIAMAO</t>
  </si>
  <si>
    <t>G2-SURCEN-BAR</t>
  </si>
  <si>
    <t>Xangri-lá</t>
  </si>
  <si>
    <t>XANGRI-LA</t>
  </si>
  <si>
    <t>G5-SURFRO-MAN</t>
  </si>
  <si>
    <t>Norte</t>
  </si>
  <si>
    <t>Água Santa</t>
  </si>
  <si>
    <t>AGUA SANTA</t>
  </si>
  <si>
    <t>Alpestre</t>
  </si>
  <si>
    <t>ALPESTRE</t>
  </si>
  <si>
    <t>G4-SURSIN-ARR</t>
  </si>
  <si>
    <t>Ametista Do Sul</t>
  </si>
  <si>
    <t>AMETISTA DO SUL</t>
  </si>
  <si>
    <t>G4-SURSIN-CAM</t>
  </si>
  <si>
    <t>Antônio Prado</t>
  </si>
  <si>
    <t>ANTONIO PRADO</t>
  </si>
  <si>
    <t>G4-SURSIN-GEN</t>
  </si>
  <si>
    <t>Aratiba</t>
  </si>
  <si>
    <t>ARATIBA</t>
  </si>
  <si>
    <t>G4-SURSIN-TAQ</t>
  </si>
  <si>
    <t>Áurea</t>
  </si>
  <si>
    <t>AUREA</t>
  </si>
  <si>
    <t>G4-SURSIN-TRI</t>
  </si>
  <si>
    <t>Barão</t>
  </si>
  <si>
    <t>BARAO</t>
  </si>
  <si>
    <t>G4-SURSUL-ARA</t>
  </si>
  <si>
    <t>Barão de Cotegipe</t>
  </si>
  <si>
    <t>BARAO DE COTEGIPE</t>
  </si>
  <si>
    <t>G4-SURSUL-CAM</t>
  </si>
  <si>
    <t>Barracão</t>
  </si>
  <si>
    <t>BARRACAO</t>
  </si>
  <si>
    <t>G4-SURSUL-CAP</t>
  </si>
  <si>
    <t>Bento Gonçalves</t>
  </si>
  <si>
    <t>BENTO GONCALVES</t>
  </si>
  <si>
    <t>G4-SURSUL-CER</t>
  </si>
  <si>
    <t>Bom Jesus</t>
  </si>
  <si>
    <t>BOM JESUS</t>
  </si>
  <si>
    <t>G4-SURSUL-MOR</t>
  </si>
  <si>
    <t>Cacique Doble</t>
  </si>
  <si>
    <t>CACIQUE DOBLE</t>
  </si>
  <si>
    <t>G4-SURSUL-PED</t>
  </si>
  <si>
    <t>Caiçara</t>
  </si>
  <si>
    <t>CAICARA</t>
  </si>
  <si>
    <t>G3-SURNE-PUT</t>
  </si>
  <si>
    <t>Cambará do Sul</t>
  </si>
  <si>
    <t>CAMBARA DO SUL</t>
  </si>
  <si>
    <t>Campestre Da Serra</t>
  </si>
  <si>
    <t>CAMPESTRE DA SERRA</t>
  </si>
  <si>
    <t>G3-SURNE-ANT</t>
  </si>
  <si>
    <t>Campinas Do Sul</t>
  </si>
  <si>
    <t>CAMPINAS DO SUL</t>
  </si>
  <si>
    <t>G3-SURNE-BAR</t>
  </si>
  <si>
    <t>Canela</t>
  </si>
  <si>
    <t>CANELA</t>
  </si>
  <si>
    <t>G3-SURNE-CAN</t>
  </si>
  <si>
    <t>Carlos Barbosa</t>
  </si>
  <si>
    <t>CARLOS BARBOSA</t>
  </si>
  <si>
    <t>G3-SURNE-CRU</t>
  </si>
  <si>
    <t>Casca</t>
  </si>
  <si>
    <t>CASCA</t>
  </si>
  <si>
    <t>G3-SURNE-ENC</t>
  </si>
  <si>
    <t>Caseiros</t>
  </si>
  <si>
    <t>CASEIROS</t>
  </si>
  <si>
    <t>G3-SURNE-FLO</t>
  </si>
  <si>
    <t>Ciríaco</t>
  </si>
  <si>
    <t>CIRIACO</t>
  </si>
  <si>
    <t>Constantina</t>
  </si>
  <si>
    <t>CONSTANTINA</t>
  </si>
  <si>
    <t>G3-SURNE-FON</t>
  </si>
  <si>
    <t>Cotiporã</t>
  </si>
  <si>
    <t>COTIPORA</t>
  </si>
  <si>
    <t>G3-SURNE-GAR</t>
  </si>
  <si>
    <t>David Canabarro</t>
  </si>
  <si>
    <t>DAVID CANABARRO</t>
  </si>
  <si>
    <t>G3-SURNE-JAQ</t>
  </si>
  <si>
    <t>Entre Rios Do Sul</t>
  </si>
  <si>
    <t>ENTRE RIOS DO SUL</t>
  </si>
  <si>
    <t>G3-SURNE-MAR</t>
  </si>
  <si>
    <t>Erebango</t>
  </si>
  <si>
    <t>EREBANGO</t>
  </si>
  <si>
    <t>G3-SURNE-MON</t>
  </si>
  <si>
    <t>Erechim</t>
  </si>
  <si>
    <t>ERECHIM</t>
  </si>
  <si>
    <t>Erval Grande</t>
  </si>
  <si>
    <t>ERVAL GRANDE</t>
  </si>
  <si>
    <t>Erval Seco</t>
  </si>
  <si>
    <t>ERVAL SECO</t>
  </si>
  <si>
    <t>Esmeralda</t>
  </si>
  <si>
    <t>ESMERALDA</t>
  </si>
  <si>
    <t>Estação</t>
  </si>
  <si>
    <t>ESTACAO</t>
  </si>
  <si>
    <t>G3-SURNE-PAV</t>
  </si>
  <si>
    <t>Fagundes Varela</t>
  </si>
  <si>
    <t>FAGUNDES VARELA</t>
  </si>
  <si>
    <t>G3-SURNE-PIN</t>
  </si>
  <si>
    <t>Farroupilha</t>
  </si>
  <si>
    <t>FARROUPILHA</t>
  </si>
  <si>
    <t>G3-SURNE-ROC</t>
  </si>
  <si>
    <t>Faxinalzinho</t>
  </si>
  <si>
    <t>FAXINALZINHO</t>
  </si>
  <si>
    <t>Flores Da Cunha</t>
  </si>
  <si>
    <t>FLORES DA CUNHA</t>
  </si>
  <si>
    <t>Frederico Westphalen</t>
  </si>
  <si>
    <t>FREDERICO WESTPHALEN</t>
  </si>
  <si>
    <t>Garibaldi</t>
  </si>
  <si>
    <t>GARIBALDI</t>
  </si>
  <si>
    <t>Gaurama</t>
  </si>
  <si>
    <t>GAURAMA</t>
  </si>
  <si>
    <t>Getúlio Vargas</t>
  </si>
  <si>
    <t>GETULIO VARGAS</t>
  </si>
  <si>
    <t>G3-SURNE-SER</t>
  </si>
  <si>
    <t>Gramado</t>
  </si>
  <si>
    <t>GRAMADO</t>
  </si>
  <si>
    <t>G3-SURNE-VIL</t>
  </si>
  <si>
    <t>Guaporé</t>
  </si>
  <si>
    <t>GUAPORE</t>
  </si>
  <si>
    <t>G3-SURPLA-AGU</t>
  </si>
  <si>
    <t>Ibiaça</t>
  </si>
  <si>
    <t>IBIACA</t>
  </si>
  <si>
    <t>G3-SURPLA-ALP</t>
  </si>
  <si>
    <t>Ibiraiaras</t>
  </si>
  <si>
    <t>IBIRAIARAS</t>
  </si>
  <si>
    <t>Ipê</t>
  </si>
  <si>
    <t>IPE</t>
  </si>
  <si>
    <t>Iraí</t>
  </si>
  <si>
    <t>IRAI</t>
  </si>
  <si>
    <t>G3-SURPLA-CAM</t>
  </si>
  <si>
    <t>Itatiba Do Sul</t>
  </si>
  <si>
    <t>ITATIBA DO SUL</t>
  </si>
  <si>
    <t>G3-SURPLA-ERV</t>
  </si>
  <si>
    <t>Jaboticaba</t>
  </si>
  <si>
    <t>JABOTICABA</t>
  </si>
  <si>
    <t>Jacutinga</t>
  </si>
  <si>
    <t>JACUTINGA</t>
  </si>
  <si>
    <t>G3-SURPLA-CAS</t>
  </si>
  <si>
    <t>Jaquirana</t>
  </si>
  <si>
    <t>JAQUIRANA</t>
  </si>
  <si>
    <t>Lagoa Vermelha</t>
  </si>
  <si>
    <t>LAGOA VERMELHA</t>
  </si>
  <si>
    <t>G3-SURPLA-FAX</t>
  </si>
  <si>
    <t>Liberato Salzano</t>
  </si>
  <si>
    <t>LIBERATO SALZANO</t>
  </si>
  <si>
    <t>G3-SURPLA-CON</t>
  </si>
  <si>
    <t>Machadinho</t>
  </si>
  <si>
    <t>MACHADINHO</t>
  </si>
  <si>
    <t>G3-SURPLA-ENT</t>
  </si>
  <si>
    <t>Marau</t>
  </si>
  <si>
    <t>MARAU</t>
  </si>
  <si>
    <t>G3-SURPLA-GET</t>
  </si>
  <si>
    <t>Marcelino Ramos</t>
  </si>
  <si>
    <t>MARCELINO RAMOS</t>
  </si>
  <si>
    <t>G3-SURPLA-IBI</t>
  </si>
  <si>
    <t>Mariano Moro</t>
  </si>
  <si>
    <t>MARIANO MORO</t>
  </si>
  <si>
    <t>G3-SURPLA-ESM</t>
  </si>
  <si>
    <t>Maximiliano De Almeida</t>
  </si>
  <si>
    <t>MAXIMILIANO DE ALMEIDA</t>
  </si>
  <si>
    <t>G3-SURPLA-IRA</t>
  </si>
  <si>
    <t>Muitos Capões</t>
  </si>
  <si>
    <t>MUITOS CAPOES</t>
  </si>
  <si>
    <t>G3-SURPLA-ITA</t>
  </si>
  <si>
    <t>Nonoai</t>
  </si>
  <si>
    <t>NONOAI</t>
  </si>
  <si>
    <t>G3-SURPLA-JAB</t>
  </si>
  <si>
    <t>Nova Araçá</t>
  </si>
  <si>
    <t>NOVA ARACA</t>
  </si>
  <si>
    <t>G3-SURPLA-LAG</t>
  </si>
  <si>
    <t>Nova Bréscia</t>
  </si>
  <si>
    <t>NOVA BRESCIA</t>
  </si>
  <si>
    <t>G3-SURPLA-MAR</t>
  </si>
  <si>
    <t>Nova Petrópolis</t>
  </si>
  <si>
    <t>NOVA PETROPOLIS</t>
  </si>
  <si>
    <t>Nova Prata</t>
  </si>
  <si>
    <t>NOVA PRATA</t>
  </si>
  <si>
    <t>G3-SURPLA-MAX</t>
  </si>
  <si>
    <t>Nova Roma Do Sul</t>
  </si>
  <si>
    <t>NOVA ROMA DO SUL</t>
  </si>
  <si>
    <t>G3-SURPLA-RIO</t>
  </si>
  <si>
    <t>Paim Filho</t>
  </si>
  <si>
    <t>PAIM FILHO</t>
  </si>
  <si>
    <t>Palmitinho</t>
  </si>
  <si>
    <t>PALMITINHO</t>
  </si>
  <si>
    <t>G3-SURPLA-RON</t>
  </si>
  <si>
    <t>Paraí</t>
  </si>
  <si>
    <t>PARAI</t>
  </si>
  <si>
    <t>G3-SURPLA-SAN</t>
  </si>
  <si>
    <t>Passo Fundo</t>
  </si>
  <si>
    <t>PASSO FUNDO</t>
  </si>
  <si>
    <t>G3-SURPLA-MUI</t>
  </si>
  <si>
    <t>Pinheirinho Do Vale</t>
  </si>
  <si>
    <t>PINHEIRINHO DO VALE</t>
  </si>
  <si>
    <t>Pinto Bandeira</t>
  </si>
  <si>
    <t>PINTO BANDEIRA</t>
  </si>
  <si>
    <t>G3-SURPLA-TAQ</t>
  </si>
  <si>
    <t>Planalto</t>
  </si>
  <si>
    <t>PLANALTO</t>
  </si>
  <si>
    <t>Rio dos Índios</t>
  </si>
  <si>
    <t>RIO DOS INDIOS</t>
  </si>
  <si>
    <t>G2-SURCEN-CAC</t>
  </si>
  <si>
    <t>Rodeio Bonito</t>
  </si>
  <si>
    <t>RODEIO BONITO</t>
  </si>
  <si>
    <t>G1-SURLIT-TAV</t>
  </si>
  <si>
    <t>Ronda Alta</t>
  </si>
  <si>
    <t>RONDA ALTA</t>
  </si>
  <si>
    <t>G3-SURPLA-PAS</t>
  </si>
  <si>
    <t>Rondinha</t>
  </si>
  <si>
    <t>RONDINHA</t>
  </si>
  <si>
    <t>G4-SURSIN-SAO</t>
  </si>
  <si>
    <t>Salvador Do Sul</t>
  </si>
  <si>
    <t>SALVADOR DO SUL</t>
  </si>
  <si>
    <t>G3-SURPLA-PLA</t>
  </si>
  <si>
    <t>Sananduva</t>
  </si>
  <si>
    <t>SANANDUVA</t>
  </si>
  <si>
    <t>G2-SURMIS-CAM</t>
  </si>
  <si>
    <t>Santo Expedito Do Sul</t>
  </si>
  <si>
    <t>SANTO EXPEDITO DO SUL</t>
  </si>
  <si>
    <t>G2-SURMIS-GIR</t>
  </si>
  <si>
    <t>São Francisco de Paula</t>
  </si>
  <si>
    <t>SAO FRANCISCO DE PAULA</t>
  </si>
  <si>
    <t>G2-SURMIS-HOR</t>
  </si>
  <si>
    <t>São João da Urtiga</t>
  </si>
  <si>
    <t>SAO JOAO DA URTIGA</t>
  </si>
  <si>
    <t>G2-SURMIS-HUM</t>
  </si>
  <si>
    <t>São Jorge</t>
  </si>
  <si>
    <t>SAO JORGE</t>
  </si>
  <si>
    <t>G1-SURLIT-TRE</t>
  </si>
  <si>
    <t>São José do Ouro</t>
  </si>
  <si>
    <t>SAO JOSE DO OURO</t>
  </si>
  <si>
    <t>G2-SURMIS-IND</t>
  </si>
  <si>
    <t>São José dos Ausentes</t>
  </si>
  <si>
    <t>SAO JOSE DOS AUSENTES</t>
  </si>
  <si>
    <t>G3-SURPLA-SEV</t>
  </si>
  <si>
    <t>São Marcos</t>
  </si>
  <si>
    <t>SAO MARCOS</t>
  </si>
  <si>
    <t>G2-SURMIS-COL</t>
  </si>
  <si>
    <t>São Pedro da Serra</t>
  </si>
  <si>
    <t>SAO PEDRO DA SERRA</t>
  </si>
  <si>
    <t>São Valentim</t>
  </si>
  <si>
    <t>SAO VALENTIM</t>
  </si>
  <si>
    <t>Sarandi</t>
  </si>
  <si>
    <t>SARANDI</t>
  </si>
  <si>
    <t>G3-SURPLA-SEB</t>
  </si>
  <si>
    <t>Seberi</t>
  </si>
  <si>
    <t>SEBERI</t>
  </si>
  <si>
    <t>G1-SURMET-CAN</t>
  </si>
  <si>
    <t>Serafina Corrêa</t>
  </si>
  <si>
    <t>SERAFINA CORREA</t>
  </si>
  <si>
    <t>G2-SURMIS-SEL</t>
  </si>
  <si>
    <t>Sertão</t>
  </si>
  <si>
    <t>SERTAO</t>
  </si>
  <si>
    <t>G1-SURMET-ELD</t>
  </si>
  <si>
    <t>Severiano De Almeida</t>
  </si>
  <si>
    <t>SEVERIANO DE ALMEIDA</t>
  </si>
  <si>
    <t>G2-SURMIS-TEN</t>
  </si>
  <si>
    <t>Tapejara</t>
  </si>
  <si>
    <t>TAPEJARA</t>
  </si>
  <si>
    <t>G2-SURMIS-VIS</t>
  </si>
  <si>
    <t>Taquaruçu do Sul</t>
  </si>
  <si>
    <t>TAQUARUCU DO SUL</t>
  </si>
  <si>
    <t>G1-SURLIT-OSO</t>
  </si>
  <si>
    <t>Trindade Do Sul</t>
  </si>
  <si>
    <t>TRINDADE DO SUL</t>
  </si>
  <si>
    <t>G1-SURLIT-PAL</t>
  </si>
  <si>
    <t>Vacaria</t>
  </si>
  <si>
    <t>VACARIA</t>
  </si>
  <si>
    <t>G1-SURMET-SAP</t>
  </si>
  <si>
    <t>Veranópolis</t>
  </si>
  <si>
    <t>VERANOPOLIS</t>
  </si>
  <si>
    <t>G1-SURLIT-XAN</t>
  </si>
  <si>
    <t>Viadutos</t>
  </si>
  <si>
    <t>VIADUTOS</t>
  </si>
  <si>
    <t>G1-SURMET-VIA</t>
  </si>
  <si>
    <t>Vicente Dutra</t>
  </si>
  <si>
    <t>VICENTE DUTRA</t>
  </si>
  <si>
    <t>G2-SURCEN-AGU</t>
  </si>
  <si>
    <t>Vila Flores</t>
  </si>
  <si>
    <t>VILA FLORES</t>
  </si>
  <si>
    <t>G4-SURSIN-CER</t>
  </si>
  <si>
    <t>Vista Alegre</t>
  </si>
  <si>
    <t>VISTA ALEGRE</t>
  </si>
  <si>
    <t>G2-SURCEN-ITA</t>
  </si>
  <si>
    <t>Oeste</t>
  </si>
  <si>
    <t>G2-SURCEN-IVO</t>
  </si>
  <si>
    <t>G4-SURSUL-ARR</t>
  </si>
  <si>
    <t>G2-SURCEN-JUL</t>
  </si>
  <si>
    <t>G2-SURCEN-LAG</t>
  </si>
  <si>
    <t>G2-SURMIS-GUA</t>
  </si>
  <si>
    <t>G2-SURCEN-MAT</t>
  </si>
  <si>
    <t>G2-SURCEN-NOV</t>
  </si>
  <si>
    <t>G2-SURCEN-PAN</t>
  </si>
  <si>
    <t>G2-SURCEN-PAS</t>
  </si>
  <si>
    <t>CANDIDO GODOY</t>
  </si>
  <si>
    <t>G2-SURCEN-RES</t>
  </si>
  <si>
    <t>G2-SURCEN-RIO</t>
  </si>
  <si>
    <t>G2-SURCEN-SAN</t>
  </si>
  <si>
    <t>G2-SURCEN-SAO</t>
  </si>
  <si>
    <t>G3-SURNE-GUA</t>
  </si>
  <si>
    <t>G3-SURNE-LAJ</t>
  </si>
  <si>
    <t>ENTRE-IJUIS</t>
  </si>
  <si>
    <t>G2-SURCEN-SOB</t>
  </si>
  <si>
    <t>G2-SURCEN-TUP</t>
  </si>
  <si>
    <t>G2-SURCEN-VEN</t>
  </si>
  <si>
    <t>G2-SURCEN-VIL</t>
  </si>
  <si>
    <t>G2-SURMIS-AJU</t>
  </si>
  <si>
    <t>G2-SURMIS-ALE</t>
  </si>
  <si>
    <t>INHACORÁ</t>
  </si>
  <si>
    <t>G3-SURPLA-CAI</t>
  </si>
  <si>
    <t>G3-SURPLA-CAR</t>
  </si>
  <si>
    <t>G3-SURPLA-CIR</t>
  </si>
  <si>
    <t>G3-SURPLA-DAV</t>
  </si>
  <si>
    <t>Maurício Cardoso</t>
  </si>
  <si>
    <t>G2-SURMIS-ALT</t>
  </si>
  <si>
    <t>G3-SURPLA-LIB</t>
  </si>
  <si>
    <t>Nova Esperança do Sul</t>
  </si>
  <si>
    <t>G3-SURPLA-VIA</t>
  </si>
  <si>
    <t>G2-SURMIS-BAR</t>
  </si>
  <si>
    <t>G3-SURPLA-VIC</t>
  </si>
  <si>
    <t>G2-SURCEN-ARR</t>
  </si>
  <si>
    <t>G3-SURPLA-PIN</t>
  </si>
  <si>
    <t>G1-SURLIT-TER</t>
  </si>
  <si>
    <t>G4-SURSUL-RIO</t>
  </si>
  <si>
    <t>G2-SURCEN-SIL</t>
  </si>
  <si>
    <t>G3-SURNE-CAR</t>
  </si>
  <si>
    <t>G2-SURMIS-CAI</t>
  </si>
  <si>
    <t>G2-SURMIS-CAT</t>
  </si>
  <si>
    <t>G2-SURMIS-IJU</t>
  </si>
  <si>
    <t>G2-SURMIS-MAU</t>
  </si>
  <si>
    <t>G2-SURMIS-MIR</t>
  </si>
  <si>
    <t>G2-SURMIS-CER</t>
  </si>
  <si>
    <t>G2-SURMIS-CHI</t>
  </si>
  <si>
    <t>G3-SURPLA-SAR</t>
  </si>
  <si>
    <t>São Vicente do Sul</t>
  </si>
  <si>
    <t>G3-SURPLA-SER</t>
  </si>
  <si>
    <t>G3-SURNE-COT</t>
  </si>
  <si>
    <t>G1-SURLIT-ARR</t>
  </si>
  <si>
    <t>G1-SURLIT-CAP</t>
  </si>
  <si>
    <t>G2-SURMIS-CRU</t>
  </si>
  <si>
    <t>G1-SURMET-GUA</t>
  </si>
  <si>
    <t>G4-SURSIN-BUT</t>
  </si>
  <si>
    <t>G2-SURMIS-ESP</t>
  </si>
  <si>
    <t>G1-SURMET-VIL</t>
  </si>
  <si>
    <t>G2-SURMIS-PAN</t>
  </si>
  <si>
    <t>Sul</t>
  </si>
  <si>
    <t>ACEGUA</t>
  </si>
  <si>
    <t>G2-SURMIS-PEJ</t>
  </si>
  <si>
    <t>Amaral Ferrador</t>
  </si>
  <si>
    <t>AMARAL FERRADOR</t>
  </si>
  <si>
    <t>G2-SURMIS-POR</t>
  </si>
  <si>
    <t>Arambaré</t>
  </si>
  <si>
    <t>ARAMBARE</t>
  </si>
  <si>
    <t>Arroio dos Ratos</t>
  </si>
  <si>
    <t>ARROIO DOS RATOS</t>
  </si>
  <si>
    <t>G2-SURMIS-RED</t>
  </si>
  <si>
    <t>Barão do Triunfo</t>
  </si>
  <si>
    <t>BARAO DO TRIUNFO</t>
  </si>
  <si>
    <t>G2-SURMIS-SAL</t>
  </si>
  <si>
    <t>Barra Do Ribeiro</t>
  </si>
  <si>
    <t>BARRA DO RIBEIRO</t>
  </si>
  <si>
    <t>G4-SURSUL-CRI</t>
  </si>
  <si>
    <t>Butiá</t>
  </si>
  <si>
    <t>BUTIA</t>
  </si>
  <si>
    <t>Camaquã</t>
  </si>
  <si>
    <t>CAMAQUA</t>
  </si>
  <si>
    <t>G3-SURNE-ARV</t>
  </si>
  <si>
    <t>Campo Bom</t>
  </si>
  <si>
    <t>CAMPO BOM</t>
  </si>
  <si>
    <t>Canguçu</t>
  </si>
  <si>
    <t>CANGUÇU</t>
  </si>
  <si>
    <t>Capão do Leão</t>
  </si>
  <si>
    <t>CAPAO DO LEAO</t>
  </si>
  <si>
    <t>Capela De Santana</t>
  </si>
  <si>
    <t>CAPELA DE SANTANA</t>
  </si>
  <si>
    <t>Cerrito</t>
  </si>
  <si>
    <t>CERRITO</t>
  </si>
  <si>
    <t>G5-SURPA-UNI</t>
  </si>
  <si>
    <t>Cerro Grande Do Sul</t>
  </si>
  <si>
    <t>CERRO GRANDE DO SUL</t>
  </si>
  <si>
    <t>G3-SURNE-FAR</t>
  </si>
  <si>
    <t>Charqueadas</t>
  </si>
  <si>
    <t>CHARQUEADAS</t>
  </si>
  <si>
    <t>Chuí</t>
  </si>
  <si>
    <t>CHUI</t>
  </si>
  <si>
    <t>Chuvisca</t>
  </si>
  <si>
    <t>CHUVISCA</t>
  </si>
  <si>
    <t>G2-SURMIS-SED</t>
  </si>
  <si>
    <t>Cristal</t>
  </si>
  <si>
    <t>CRISTAL</t>
  </si>
  <si>
    <t>G3-SURNE-GRA</t>
  </si>
  <si>
    <t>Dois Irmãos</t>
  </si>
  <si>
    <t>DOIS IRMAOS</t>
  </si>
  <si>
    <t>G2-SURMIS-TAP</t>
  </si>
  <si>
    <t>Dom Feliciano</t>
  </si>
  <si>
    <t>DOM FELICIANO</t>
  </si>
  <si>
    <t>Estância Velha</t>
  </si>
  <si>
    <t>ESTANCIA VELHA</t>
  </si>
  <si>
    <t>G2-SURMIS-TIR</t>
  </si>
  <si>
    <t>General Câmara</t>
  </si>
  <si>
    <t>GENERAL CAMARA</t>
  </si>
  <si>
    <t>Herval</t>
  </si>
  <si>
    <t>HERVAL</t>
  </si>
  <si>
    <t>G3-SURPLA-ARA</t>
  </si>
  <si>
    <t>Igrejinha</t>
  </si>
  <si>
    <t>IGREJINHA</t>
  </si>
  <si>
    <t>G2-SURMIS-TUC</t>
  </si>
  <si>
    <t>Jaguarão</t>
  </si>
  <si>
    <t>JAGUARAO</t>
  </si>
  <si>
    <t>G2-SURMIS-TUP</t>
  </si>
  <si>
    <t>Mariana Pimentel</t>
  </si>
  <si>
    <t>MARIANA PIMENTEL</t>
  </si>
  <si>
    <t>G2-SURMIS-VIC</t>
  </si>
  <si>
    <t>Minas do Leão</t>
  </si>
  <si>
    <t>MINAS DO LEAO</t>
  </si>
  <si>
    <t>G3-SURPLA-FRE</t>
  </si>
  <si>
    <t>Montenegro</t>
  </si>
  <si>
    <t>MONTENEGRO</t>
  </si>
  <si>
    <t>G3-SURPLA-GAU</t>
  </si>
  <si>
    <t>Morro Redondo</t>
  </si>
  <si>
    <t>MORRO REDONDO</t>
  </si>
  <si>
    <t>Morro Reuter</t>
  </si>
  <si>
    <t>MORRO REUTER</t>
  </si>
  <si>
    <t>G3-SURPLA-MAC</t>
  </si>
  <si>
    <t>Nova Hartz</t>
  </si>
  <si>
    <t>NOVA HARTZ</t>
  </si>
  <si>
    <t>G3-SURPLA-NON</t>
  </si>
  <si>
    <t>Nova Santa Rita</t>
  </si>
  <si>
    <t>NOVA SANTA RITA</t>
  </si>
  <si>
    <t>Parobé</t>
  </si>
  <si>
    <t>PAROBE</t>
  </si>
  <si>
    <t>G1-SURLIT-CID</t>
  </si>
  <si>
    <t>Pedras Altas</t>
  </si>
  <si>
    <t>PEDRAS ALTAS</t>
  </si>
  <si>
    <t>G1-SURLIT-GLO</t>
  </si>
  <si>
    <t>Pedro Osório</t>
  </si>
  <si>
    <t>PEDRO OSORIO</t>
  </si>
  <si>
    <t>G1-SURLIT-IMB</t>
  </si>
  <si>
    <t>Pinheiro Machado</t>
  </si>
  <si>
    <t>PINHEIRO MACHADO</t>
  </si>
  <si>
    <t>G1-SURLIT-MOS</t>
  </si>
  <si>
    <t>Piratini</t>
  </si>
  <si>
    <t>PIRATINI</t>
  </si>
  <si>
    <t>G2-SURMIS-NAO</t>
  </si>
  <si>
    <t>Portão</t>
  </si>
  <si>
    <t>PORTAO</t>
  </si>
  <si>
    <t>G3-SURPLA-PAL</t>
  </si>
  <si>
    <t>Rio Grande</t>
  </si>
  <si>
    <t>RIO GRANDE</t>
  </si>
  <si>
    <t>G3-SURPLA-EST</t>
  </si>
  <si>
    <t>Riozinho</t>
  </si>
  <si>
    <t>RIOZINHO</t>
  </si>
  <si>
    <t>Rolante</t>
  </si>
  <si>
    <t>ROLANTE</t>
  </si>
  <si>
    <t>G2-SURCEN-FAX</t>
  </si>
  <si>
    <t>Santa Maria Do Herval</t>
  </si>
  <si>
    <t>SANTA MARIA DO HERVAL</t>
  </si>
  <si>
    <t>G2-SURCEN-FOR</t>
  </si>
  <si>
    <t>Santa Vitória do Palmar</t>
  </si>
  <si>
    <t>SANTA VITORIA DO PALMAR</t>
  </si>
  <si>
    <t>São Jeronimo</t>
  </si>
  <si>
    <t>SAO JERONIMO</t>
  </si>
  <si>
    <t>G2-SURMIS-CAN</t>
  </si>
  <si>
    <t>São José do Norte</t>
  </si>
  <si>
    <t>SAO JOSE DO NORTE</t>
  </si>
  <si>
    <t>G2-SURMIS-INH</t>
  </si>
  <si>
    <t>São Lourenço do Sul</t>
  </si>
  <si>
    <t>SAO LOURENCO DO SUL</t>
  </si>
  <si>
    <t>São Sebastião do Caí</t>
  </si>
  <si>
    <t>SAO SEBASTIAO DO CAI</t>
  </si>
  <si>
    <t>Sapiranga</t>
  </si>
  <si>
    <t>SAPIRANGA</t>
  </si>
  <si>
    <t>G4-SURSIN-SEN</t>
  </si>
  <si>
    <t>Sentinela Do Sul</t>
  </si>
  <si>
    <t>SENTINELA DO SUL</t>
  </si>
  <si>
    <t>G3-SURPLA-SOL</t>
  </si>
  <si>
    <t>Sertão Santana</t>
  </si>
  <si>
    <t>SERTAO SANTANA</t>
  </si>
  <si>
    <t>G4-SURSIN-SER</t>
  </si>
  <si>
    <t>Tapes</t>
  </si>
  <si>
    <t>TAPES</t>
  </si>
  <si>
    <t>G1-SURMET-EST</t>
  </si>
  <si>
    <t>Taquara</t>
  </si>
  <si>
    <t>TAQUARA</t>
  </si>
  <si>
    <t>Três Coroas</t>
  </si>
  <si>
    <t>TRES COROAS</t>
  </si>
  <si>
    <t>G3-SURPLA-VAC</t>
  </si>
  <si>
    <t>Triunfo</t>
  </si>
  <si>
    <t>TRIUNFO</t>
  </si>
  <si>
    <t>AREIA</t>
  </si>
  <si>
    <t>PÓ DE BRITA</t>
  </si>
  <si>
    <t>CASCALHO</t>
  </si>
  <si>
    <t xml:space="preserve">PEDRISCO </t>
  </si>
  <si>
    <t>REJEITO DE CALCÁRIO</t>
  </si>
  <si>
    <t>BALASTRO</t>
  </si>
  <si>
    <t>TON</t>
  </si>
  <si>
    <t>IDColaborador</t>
  </si>
  <si>
    <t>Colaboradores</t>
  </si>
  <si>
    <t>Código da Instalação</t>
  </si>
  <si>
    <t>Equipamento</t>
  </si>
  <si>
    <t>Jorge D. G. Rodrigues</t>
  </si>
  <si>
    <t>EAB - EAB 01 para ETA 1 - 3082580619 - Santa Rosa</t>
  </si>
  <si>
    <t>José M. F. S. Júnior</t>
  </si>
  <si>
    <t>EAB - EAB 01 - 3082471527 - Três Passos</t>
  </si>
  <si>
    <t>Gabriel R. Corrêa</t>
  </si>
  <si>
    <t>EAB - EAB 01 Barragem - 3092463412 - Santiago</t>
  </si>
  <si>
    <t>Daniel S. Gonçalves</t>
  </si>
  <si>
    <t>EAB - EAB 01 - 3082473598 - Três de Maio</t>
  </si>
  <si>
    <t>Fábio G. de Souza</t>
  </si>
  <si>
    <t>EAB - EAB 03 para ETA 2 - 3082470431 - Santo Ângelo</t>
  </si>
  <si>
    <t>Felipe Ribeiro de Freitas</t>
  </si>
  <si>
    <t>EAB - EAB 02 para ETA 2 - 2358401 - Santa Rosa</t>
  </si>
  <si>
    <t>Nilceu Jr. Forgiarini</t>
  </si>
  <si>
    <t>EAB - EAB 01 - 3082475276 - Horizontina</t>
  </si>
  <si>
    <t>Maximiliano Dorneles</t>
  </si>
  <si>
    <t>ETA - EAT 06 / ETA 02 - 3082470515 - Santo Ângelo</t>
  </si>
  <si>
    <t>André Prestes de Campos</t>
  </si>
  <si>
    <t>ETA - ADM 05 / EAT 02 / ETA 01 / PCO ALG 11C - 3095641510 - Alegrete</t>
  </si>
  <si>
    <t>Pedro Xavier de Lima</t>
  </si>
  <si>
    <t>ETA - EAT 02 / ETA 01 / PCO ITQ 02C / PCO ITQ 02 / RES 01 - 3092481006 - Itaqui</t>
  </si>
  <si>
    <t>Thiago Eliezer Quadros</t>
  </si>
  <si>
    <t>EAB - EAB 01 - 3095656133 - Itaqui</t>
  </si>
  <si>
    <t>Douglas de Almeida Machado</t>
  </si>
  <si>
    <t>EAB - EAB 01 - 3082471822 - São Luiz Gonzaga</t>
  </si>
  <si>
    <t>Leonice</t>
  </si>
  <si>
    <t>EAT - EAT 04 - 3082471380 - São Luiz Gonzaga</t>
  </si>
  <si>
    <t>Ricardo M. Alves</t>
  </si>
  <si>
    <t>ETA - ETA 01 - 72686413 - Dom Pedrito</t>
  </si>
  <si>
    <t>Keny Rogers Andrade</t>
  </si>
  <si>
    <t>PCO - PCO QUA 06 - 3095032698 - Quaraí</t>
  </si>
  <si>
    <t>Elton Emídio da Silva</t>
  </si>
  <si>
    <t>ETA - EAT 50 / ETA 01 - 3082475501 - Santa Rosa</t>
  </si>
  <si>
    <t>Sidnei Rosa</t>
  </si>
  <si>
    <t>PCO - PCO ALG 30 - 3095713395 - Alegrete</t>
  </si>
  <si>
    <t>Joanglidi de Andrade</t>
  </si>
  <si>
    <t>ETA - ADM 03 / EAT 03 / EAT 50 / ETA 01 - 3082470778 - Santo Ângelo</t>
  </si>
  <si>
    <t>Frey Douglas Gabriel</t>
  </si>
  <si>
    <t>ETA - EAT 03 / ETA 01 - 3092463406 - Santiago</t>
  </si>
  <si>
    <t>EAB - EAB 01 - 37666282 - Dom Pedrito</t>
  </si>
  <si>
    <t>ETE - ETE 01 - 3095800381 - São Borja</t>
  </si>
  <si>
    <t>EAB - EAB 01 - 716402 - Alecrim</t>
  </si>
  <si>
    <t>EAB - EAB 01 para ETA 1 Itaquarinchim - 3082470937 - Santo Ângelo</t>
  </si>
  <si>
    <t>PCO - PCO SLU 02 - 3085113537 - São Luiz Gonzaga</t>
  </si>
  <si>
    <t>ETA - EAT 02 / ETA 01 - 3082473602 - Três de Maio</t>
  </si>
  <si>
    <t>PCO - PCO QUA 02A / PCO QUA 02C - 3092461725 - Quaraí</t>
  </si>
  <si>
    <t>PCO - PCO QUA 04 - 3093027262 - Quaraí</t>
  </si>
  <si>
    <t>ETE - ETE 01 - 3085617631 - Santa Rosa</t>
  </si>
  <si>
    <t>PCO - PCO ALG 02 / PCO ALG 07 - 3095800367 - Alegrete</t>
  </si>
  <si>
    <t>ETA - EAT 03 / ETA 01 Desativação 23 24 - 3082467109 - São Luiz Gonzaga</t>
  </si>
  <si>
    <t>PCO - PCO SCR 20 - 3083096242 - Santo Cristo</t>
  </si>
  <si>
    <t>PCO - EAT 01 / PCO GIR 06 - 3082471964 - Giruá</t>
  </si>
  <si>
    <t>PCO - PCO SCR 12A / PCO SCR 12 - 3082472733 - Santo Cristo</t>
  </si>
  <si>
    <t>PCO - PCO GIR 09 - 3082466849 - Giruá</t>
  </si>
  <si>
    <t>PCO - PCO SAM 06 - 9106 - Santo Antônio das Missões</t>
  </si>
  <si>
    <t>EAT - EAT 04 - 3085130302 - Santo Ângelo</t>
  </si>
  <si>
    <t>PCO - PCO TIR 05A - 3082528718 - Tiradentes do Sul</t>
  </si>
  <si>
    <t>PCO - PCO CBT 07 - 1142 - Caibaté</t>
  </si>
  <si>
    <t>PCO - PCO NES 03 - 4003992050 - Nova Esperança do Sul</t>
  </si>
  <si>
    <t>PCO - PCO ALG 15B - 3092464869 - Alegrete</t>
  </si>
  <si>
    <t>PCO - PCO ALG 10 - 3095654903 - Alegrete</t>
  </si>
  <si>
    <t>ETA - ADM 01 / EAT 02 / ETA 01 - 3092460505 - Jaguari</t>
  </si>
  <si>
    <t>16.571.100-80</t>
  </si>
  <si>
    <t>PCO - PCO MIR 10 - 16.571.100-80 - Miraguaí</t>
  </si>
  <si>
    <t>EAT - EAT 04 - 3082464795 - Santa Rosa</t>
  </si>
  <si>
    <t>PCO - PCO SVS 06 - 3092460488 - São Vicente do Sul</t>
  </si>
  <si>
    <t>PCO - PCO ALG 29 - 3095549037 - Alegrete</t>
  </si>
  <si>
    <t>EAT - EAT 03 - 72686189 - Dom Pedrito</t>
  </si>
  <si>
    <t>EAB - EAB 01 - 3082471860 - Porto Xavier</t>
  </si>
  <si>
    <t>PCO - PCO CLA 13 - 3082467455 - Cerro Largo</t>
  </si>
  <si>
    <t>PCO - PCO SAU 09A - 3083072185 - Santo Augusto</t>
  </si>
  <si>
    <t>PCO - PCO TPO 14A - 3082469838 - Tenente Portela</t>
  </si>
  <si>
    <t>PCO - PCO QUA 08 - 3095077756 - Quaraí</t>
  </si>
  <si>
    <t>EAT - EAT 01 - 3092473747 - Rosário do Sul</t>
  </si>
  <si>
    <t>PCO - PCO ALG 23 - 3095800368 - Alegrete</t>
  </si>
  <si>
    <t>PCO - PCO SCR 25 - 3085637044 - Santo Cristo</t>
  </si>
  <si>
    <t>PCO - PCO PLU 10 - 3085021218 - Porto Lucena</t>
  </si>
  <si>
    <t>PCO - PCO SCR 03 / PCO SCR 13A - 3082470300 - Santo Cristo</t>
  </si>
  <si>
    <t>PCO - PCO SAU 02 - 3082470659 - Santo Augusto</t>
  </si>
  <si>
    <t>EAB - EAB 01 - 716405 - Cândido Godói</t>
  </si>
  <si>
    <t>PCO - PCO SCR 27 - 3085401541 - Santo Cristo</t>
  </si>
  <si>
    <t>PCO - PCO TPO 51 - 4003514314 - Tenente Portela</t>
  </si>
  <si>
    <t>PCO - PCO TPO 57 - 4003644763 - Tenente Portela</t>
  </si>
  <si>
    <t>EEE - EEE 03 - 4003028310 - Alegrete</t>
  </si>
  <si>
    <t>PCO - PCO BOS 06 - 12810 - Bossoroca</t>
  </si>
  <si>
    <t>PCO - PCO CBT 04 - 718 - Caibaté</t>
  </si>
  <si>
    <t>ETA - ETA 01 Desativação 23 24 / PCO CGO 02 - 3082471247 - Cândido Godói</t>
  </si>
  <si>
    <t>PCO - PCO SAU 20 - 3083173875 - Santo Augusto</t>
  </si>
  <si>
    <t>PCO - PCO TPO 55 - 4003614877 - Tenente Portela</t>
  </si>
  <si>
    <t>PCO - PCO GMI 19 - 3085296890 - Guarani das Missões</t>
  </si>
  <si>
    <t>EAT - EAT 08 - 3083335655 - Santa Rosa</t>
  </si>
  <si>
    <t>PCO - PCO TPO 06A - 3082471644 - Tenente Portela</t>
  </si>
  <si>
    <t>ADM - ADM 02 - 3082466612 - Entre-Ijuís</t>
  </si>
  <si>
    <t>PCO - PCO SMM 03 - 37773 - São Miguel das Missões</t>
  </si>
  <si>
    <t>16.579.100-03</t>
  </si>
  <si>
    <t>PCO - PCO MIR 11 - 16.579.100-03 - Miraguaí</t>
  </si>
  <si>
    <t>PCO - PCO CCQ 13 - 3092569032 - Cacequi</t>
  </si>
  <si>
    <t>PCO - PCO DMC 04 - 3082475297 - Doutor Maurício Cardoso</t>
  </si>
  <si>
    <t>PCO - PCO TUC 18 - 3085019779 - Tucunduva</t>
  </si>
  <si>
    <t>PCO - PCO TDI 13 - 4003718765 - Tuparendi</t>
  </si>
  <si>
    <t>PCO - ADM 02 / PCO SMM 01 - 13863 - São Miguel das Missões</t>
  </si>
  <si>
    <t>PCO - PCO CCQ 07A - 3095770715 - Cacequi</t>
  </si>
  <si>
    <t>PCO - PCO CLA 05 - 3082467562 - Cerro Largo</t>
  </si>
  <si>
    <t>PCO - PCO MVI 05 - 3093072385 - Manoel Viana</t>
  </si>
  <si>
    <t>PCO - PCO BPO 03A / PCO BPO FON 01 - 3083256928 - Bom Progresso</t>
  </si>
  <si>
    <t>ETA - EAT 02 / ETA 01 - 3082474375 - Tucunduva</t>
  </si>
  <si>
    <t>ETE - ETE 02 Índia Lindóia - 3085365406 - Santo Ângelo</t>
  </si>
  <si>
    <t>PCO - PCO HUM 09 - 4002606215 - Humaitá</t>
  </si>
  <si>
    <t>PCO - PCO SAU 11 - 3082999760 - Santo Augusto</t>
  </si>
  <si>
    <t>PCO - PCO SVS 09 - 3095683771 - São Vicente do Sul</t>
  </si>
  <si>
    <t>ETE - ETE 01 Ibirapuitã - 3095654908 - Alegrete</t>
  </si>
  <si>
    <t>PCO - PCO TPO 45 - 4002507978 - Tenente Portela</t>
  </si>
  <si>
    <t>PCO - PCO TDI 04 - 3082474999 - Tuparendi</t>
  </si>
  <si>
    <t>PCO - PCO MIR VIR 03 - 4003821413 - Miraguaí</t>
  </si>
  <si>
    <t>PCO - PCO SCR 16A - 3083096220 - Santo Cristo</t>
  </si>
  <si>
    <t>PCO - PCO GIR 07 - 3082466902 - Giruá</t>
  </si>
  <si>
    <t>PCO - PCO SLU 03 / PCO SLU 03B - 3082471848 - São Luiz Gonzaga</t>
  </si>
  <si>
    <t>PCO - PCO CBI 04 - 3082470495 - Coronel Bicaco</t>
  </si>
  <si>
    <t>PCO - PCO SAU 22 - 4001491801 - Santo Augusto</t>
  </si>
  <si>
    <t>PCO - PCO GMI 15 - 3082472207 - Guarani das Missões</t>
  </si>
  <si>
    <t>PCO - PCO ITQ 01 - 3092463662 - Itaqui</t>
  </si>
  <si>
    <t>PCO - PCO SCR 26 - 3085342007 - Santo Cristo</t>
  </si>
  <si>
    <t>PCO - PCO CNO 01 - 3082470294 - Campo Novo</t>
  </si>
  <si>
    <t>PCO - PCO ALG 01C - 3095800375 - Alegrete</t>
  </si>
  <si>
    <t>EAT - EAT 03 - 3082467643 - Horizontina</t>
  </si>
  <si>
    <t>PCO - PCO DER 03 - 4002185725 - Derrubadas</t>
  </si>
  <si>
    <t>PCO - PCO CNO 08 - 3082715588 - Campo Novo</t>
  </si>
  <si>
    <t>PCO - PCO CNO 03A - 3082470287 - Campo Novo</t>
  </si>
  <si>
    <t>PCO - PCO TDI 03 - 3082471204 - Tuparendi</t>
  </si>
  <si>
    <t>PCO - PCO CHI 01 - 3082469425 - Chiapetta</t>
  </si>
  <si>
    <t>7.031.111-41</t>
  </si>
  <si>
    <t>PCO - PCO IND 14 - 7.031.111-41 - Independência</t>
  </si>
  <si>
    <t>PCO - ADM 01 / EAT 02 / PCO CBT 03 - 697 - Caibaté</t>
  </si>
  <si>
    <t>PCO - PCO BOS 04 - 11008 - Bossoroca</t>
  </si>
  <si>
    <t>PCO - PCO SAU 05 - 3082470607 - Santo Augusto</t>
  </si>
  <si>
    <t>PCO - PCO RED 07 - 3082470415 - Redentora</t>
  </si>
  <si>
    <t>PCO - PCO GIR 16 - 3085628161 - Giruá</t>
  </si>
  <si>
    <t>PCO - PCO SFR 16 - 3093293872 - São Francisco de Assis</t>
  </si>
  <si>
    <t>PCO - PCO CLA 01 - 3082467420 - Cerro Largo</t>
  </si>
  <si>
    <t>PCO - PCO SCR 23 - 3085019953 - Santo Cristo</t>
  </si>
  <si>
    <t>PCO - PCO CLA 15 - 3083178760 - Cerro Largo</t>
  </si>
  <si>
    <t>PCO - PCO SAG 01 - 4001423797 - Santo Ângelo</t>
  </si>
  <si>
    <t>PCO - PCO EIJ 03B - 3082466440 - Entre-Ijuís</t>
  </si>
  <si>
    <t>PCO - PCO SNI 03 - 3082467281 - São Nicolau</t>
  </si>
  <si>
    <t>PCO - PCO GIR 14 - 3083286219 - Giruá</t>
  </si>
  <si>
    <t>ETA - EAT 02 / ETA 01 / PCO IND 02 - 3082473590 - Independência</t>
  </si>
  <si>
    <t>PCO - PCO GIR 17 - 4003647632 - Giruá</t>
  </si>
  <si>
    <t>PCO - PCO TUC 05 - 3082469460 - Tucunduva</t>
  </si>
  <si>
    <t>PCO - EAT 03 Booster 1 / PCO CNO 12 - 3082470211 - Campo Novo</t>
  </si>
  <si>
    <t>PCO - PCO SVS 11 - 4003603236 - São Vicente do Sul</t>
  </si>
  <si>
    <t>PCO - PCO TUC 19 - 3085306118 - Tucunduva</t>
  </si>
  <si>
    <t>ETA - EAT 02 / ETA 01 / PCO BQU 01A / PCO BQU 01 - 3092463710 - Barra do Quaraí</t>
  </si>
  <si>
    <t>PCO - PCO INH 04 - 3082827556 - Inhacorá</t>
  </si>
  <si>
    <t>ADM - ADM 02 - 3082466562 - Santo Ângelo</t>
  </si>
  <si>
    <t>EAT - EAT 04 - 3082469791 - Três Passos</t>
  </si>
  <si>
    <t>PCO - PCO MIR 03 - 3082470043 - Miraguaí</t>
  </si>
  <si>
    <t>PCO - PCO CCQ 10A / PCO CCQ 10 - 3092460690 - Cacequi</t>
  </si>
  <si>
    <t>PCO - PCO SJI 03A - 3083253818 - São José do Inhacorá</t>
  </si>
  <si>
    <t>PCO - PCO CHI 09A - 3083073470 - Chiapetta</t>
  </si>
  <si>
    <t>PCO - PCO TPO 17 - 3082539572 - Tenente Portela</t>
  </si>
  <si>
    <t>EAT - EAT 02 - 3085629800 - Santa Rosa</t>
  </si>
  <si>
    <t>PCO - PCO CLA 26 - 3085603399 - Cerro Largo</t>
  </si>
  <si>
    <t>PCO - PCO BAG 01 - 3082455107 - Barra do Guarita</t>
  </si>
  <si>
    <t>PCO - PCO GIR 10 - 3082466792 - Giruá</t>
  </si>
  <si>
    <t>EEE - EEE 06 - 4003876152 - São Borja</t>
  </si>
  <si>
    <t>PCO - PCO ALG 22 - 3092682050 - Alegrete</t>
  </si>
  <si>
    <t>EAT - EAT 05 Booster Coronel Jacinto - 24698687 - Dom Pedrito</t>
  </si>
  <si>
    <t>EAT - ADM 01 / EAT 02 - 3082469810 - São Martinho</t>
  </si>
  <si>
    <t>EAT - EAT 02 - 3082469547 - Campina das Missões</t>
  </si>
  <si>
    <t>PCO - PCO CCQ 06A - 3092460725 - Cacequi</t>
  </si>
  <si>
    <t>EAT - EAT 01 / PCO HUM FON 01 - 3082471601 - Humaitá</t>
  </si>
  <si>
    <t>RES - ADM 01 / RES 01 - 3082467514 - Doutor Maurício Cardoso</t>
  </si>
  <si>
    <t>PCO - ADM 01 / PCO MVI 02 - 3092500980 - Manoel Viana</t>
  </si>
  <si>
    <t>EAT - EAT 03 - 3082471855 - Porto Xavier</t>
  </si>
  <si>
    <t>PCO - PCO HUM 04 - 3083094401 - Humaitá</t>
  </si>
  <si>
    <t>PCO - PCO MIR 05 - 4001377791 - Miraguaí</t>
  </si>
  <si>
    <t>PCO - PCO SAM 07 - 7048 - Santo Antônio das Missões</t>
  </si>
  <si>
    <t>11.646.111-93</t>
  </si>
  <si>
    <t>PCO - PCO IND 12 - 11.646.111-93 - Independência</t>
  </si>
  <si>
    <t>PCO - PCO SMM 02 - 14665 - São Miguel das Missões</t>
  </si>
  <si>
    <t>PCO - PCO SLU 09 - 3085723548 - São Luiz Gonzaga</t>
  </si>
  <si>
    <t>PCO - PCO SFR 17 - 4003686205 - São Francisco de Assis</t>
  </si>
  <si>
    <t>EAT - EAT 02 - 3095026668 - Santiago</t>
  </si>
  <si>
    <t>PCO - PCO TPO 24 - 3082469818 - Tenente Portela</t>
  </si>
  <si>
    <t>PCO - PCO SAU 04 - 3082470582 - Santo Augusto</t>
  </si>
  <si>
    <t>PCO - PCO SAU 15A - 3083110350 - Santo Augusto</t>
  </si>
  <si>
    <t>PCO - PCO TPO 07 - 3082469862 - Tenente Portela</t>
  </si>
  <si>
    <t>PCO - PCO VGA 09 - 4002466172 - Vista Gaúcha</t>
  </si>
  <si>
    <t>PCO - PCO EIJ 07 - 3083286220 - Entre-Ijuís</t>
  </si>
  <si>
    <t>EEE - EEE 08 - 4002663287 - Santa Rosa</t>
  </si>
  <si>
    <t>EAT - EAT 01 - 3092460728 - Cacequi</t>
  </si>
  <si>
    <t>EEE - EEE 01 - 47238259 - Dom Pedrito</t>
  </si>
  <si>
    <t>PCO - PCO EIJ 01A / PCO EIJ 01 - 3082466610 - Entre-Ijuís</t>
  </si>
  <si>
    <t>EAT - EAT 05 - 3085568965 - Santo Ângelo</t>
  </si>
  <si>
    <t>PCO - PCO RED 04 - 3082470430 - Redentora</t>
  </si>
  <si>
    <t>PCO - PCO MIR 06 - 3083110068 - Miraguaí</t>
  </si>
  <si>
    <t>PCO - PCO TIR 07B / PCO TIR 07 - 3083241407 - Tiradentes do Sul</t>
  </si>
  <si>
    <t>PCO - PCO BRA 05 - 3082510624 - Braga</t>
  </si>
  <si>
    <t>PCO - PCO CLA 20 - 3083038008 - Cerro Largo</t>
  </si>
  <si>
    <t>PCO - PCO ALG 27A / PCO ALG 27 - 3095800373 - Alegrete</t>
  </si>
  <si>
    <t>EAT - EAT 03 - 3095215855 - São Borja</t>
  </si>
  <si>
    <t>PCO - PCO IND 06 - 3082469592 - Independência</t>
  </si>
  <si>
    <t>PCO - PCO GIR 04 - 3082496992 - Giruá</t>
  </si>
  <si>
    <t>PCO - PCO GIR 13 - 3082536129 - Giruá</t>
  </si>
  <si>
    <t>PCO - PCO MAM 01A / PCO MAM 01 - 3092463705 - Maçambará</t>
  </si>
  <si>
    <t>PCO - PCO TDI 10 - 3082709354 - Tuparendi</t>
  </si>
  <si>
    <t>PCO - PCO TDI 07 - 3082471235 - Tuparendi</t>
  </si>
  <si>
    <t>ETE - ETE 02 Areias Brancas - 3093323985 - Rosário do Sul</t>
  </si>
  <si>
    <t>EAT - EAT 04 - 3083329322 - Vista Gaúcha</t>
  </si>
  <si>
    <t>PCO - PCO TPO 31A - 3085427757 - Tenente Portela</t>
  </si>
  <si>
    <t>ETA - EAT 02 / ETA 01 - 3082469956 - Alecrim</t>
  </si>
  <si>
    <t>PCO - PCO CBI 06 - 3082788312 - Coronel Bicaco</t>
  </si>
  <si>
    <t>PCO - PCO QUA 09 - 4002651644 - Quaraí</t>
  </si>
  <si>
    <t>PCO - ADM 01 / PCO INH 01 / PCO INH 05 - 3082455657 - Inhacorá</t>
  </si>
  <si>
    <t>PCO - PCO MIR 02 - 3082470039 - Miraguaí</t>
  </si>
  <si>
    <t>PCO - PCO CBT 05 / PCO CBT 01A - 965 - Caibaté</t>
  </si>
  <si>
    <t>PCO - PCO CBI 01 - 3082470500 - Coronel Bicaco</t>
  </si>
  <si>
    <t>PCO - PCO SNI 01 - 3082467319 - São Nicolau</t>
  </si>
  <si>
    <t>PCO - PCO CAM 08 - 3082469446 - Campina das Missões</t>
  </si>
  <si>
    <t>PCO - PCO GMI 03A - 3082467359 - Guarani das Missões</t>
  </si>
  <si>
    <t>PCO - PCO MIR TRQ 01 - 3082456102 - Miraguaí</t>
  </si>
  <si>
    <t>PCO - PCO TPO 09 - 3082469856 - Tenente Portela</t>
  </si>
  <si>
    <t>ETA - EAB 01 / EAT 02 / ETA 01 - 3092463215 - Unistalda</t>
  </si>
  <si>
    <t>PCO - PCO DER 01 - 3085214483 - Derrubadas</t>
  </si>
  <si>
    <t>PCO - PCO ALG STD 01 - 3091509806 - Alegrete</t>
  </si>
  <si>
    <t>PCO - PCO ALG 25 - 3095800370 - Alegrete</t>
  </si>
  <si>
    <t>PCO - EAT 03 / PCO EIJ 02 - 3082466589 - Entre-Ijuís</t>
  </si>
  <si>
    <t>RES - RES 01 - 3092535385 - Santiago</t>
  </si>
  <si>
    <t>EEE - EEE 06 6.4 - 4002845642 - Alegrete</t>
  </si>
  <si>
    <t>PCT - PCT 01 - 3082471553 - Sede Nova</t>
  </si>
  <si>
    <t>PCO - ADM 01 / PCO SNI 02 - 3082467308 - São Nicolau</t>
  </si>
  <si>
    <t>PCO - PCO IND 11 - 3082819289 - Independência</t>
  </si>
  <si>
    <t>PCO - PCO EIJ 10 - 4003452525 - Entre-Ijuís</t>
  </si>
  <si>
    <t>PCO - PCO VGA 06 - 3085024140 - Vista Gaúcha</t>
  </si>
  <si>
    <t>PCO - PCO CLA 08 - 3082467558 - Cerro Largo</t>
  </si>
  <si>
    <t>PCO - PCO BRA 01 - 3082470106 - Braga</t>
  </si>
  <si>
    <t>PCO - PCO SFR 09 - 3095650274 - São Francisco de Assis</t>
  </si>
  <si>
    <t>PCO - PCO MIR 01 - 3082470076 - Miraguaí</t>
  </si>
  <si>
    <t>EAB - EAB 01 - 3095124223 - Barra do Quaraí</t>
  </si>
  <si>
    <t>PCO - PCO BAG 03 - 3085137357 - Barra do Guarita</t>
  </si>
  <si>
    <t>PCO - ADM 01 / PCO SJI 01 - 3082464196 - São José do Inhacorá</t>
  </si>
  <si>
    <t>PCO - PCO SAM 05 - 8464 - Santo Antônio das Missões</t>
  </si>
  <si>
    <t>EEE - EEE 03 - 3085671350 - Santa Rosa</t>
  </si>
  <si>
    <t>EAT - EAT 02 - 3083191274 - São Luiz Gonzaga</t>
  </si>
  <si>
    <t>EEE - EEE 01 - 4002750181 - Santa Rosa</t>
  </si>
  <si>
    <t>EEE - EEE 04 EBE Loteamento Sol Nascente - 4003080852 - Rosário do Sul</t>
  </si>
  <si>
    <t>PCO - PCO BOS 02 - 11555 - Bossoroca</t>
  </si>
  <si>
    <t>EAT - EAT 02 - 3085266026 - Tiradentes do Sul</t>
  </si>
  <si>
    <t>ADM - ADM 06 - 3093284483 - Alegrete</t>
  </si>
  <si>
    <t>PCO - PCO GMI 04 - 3082467362 - Guarani das Missões</t>
  </si>
  <si>
    <t>PCO - PCO SAU 01 - 3082470573 - Santo Augusto</t>
  </si>
  <si>
    <t>PCO - PCO TPO 10 - 3082469849 - Tenente Portela</t>
  </si>
  <si>
    <t>EAT - EAT 03 / ETA 02 - 3083266544 - Vista Gaúcha</t>
  </si>
  <si>
    <t>PCO - PCO EIJ 08 - 3083286221 - Entre-Ijuís</t>
  </si>
  <si>
    <t>PCO - PCO BRA 02 - 3082470111 - Braga</t>
  </si>
  <si>
    <t>PCO - PCO PXA 06A - 3082471849 - Porto Xavier</t>
  </si>
  <si>
    <t>PCO - PCO CHI 05 - 3082469441 - Chiapetta</t>
  </si>
  <si>
    <t>EAT - EAT 02 - 3085660448 - Barra do Guarita</t>
  </si>
  <si>
    <t>PCO - PCO GIR 01 - 3082466878 - Giruá</t>
  </si>
  <si>
    <t>EEE - EEE 02 - 3095058700 - Rosário do Sul</t>
  </si>
  <si>
    <t>PCO - PCO TPO 03 - 3082469826 - Tenente Portela</t>
  </si>
  <si>
    <t>PCO - PCO RED 01A - 4003378357 - Redentora</t>
  </si>
  <si>
    <t>PCO - PCO CBI 02 - 3082470504 - Coronel Bicaco</t>
  </si>
  <si>
    <t>PCO - PCO MVI 04 - 3092582813 - Manoel Viana</t>
  </si>
  <si>
    <t>PCO - ADM 01 / PCO SNO 02 - 3082469351 - Sede Nova</t>
  </si>
  <si>
    <t>EAT - EAT 02 - 3082467425 - Cerro Largo</t>
  </si>
  <si>
    <t>PCO - PCO ITQ 04 - 4003832851 - Itaqui</t>
  </si>
  <si>
    <t>PCO - PCO CLA 06 - 3082467434 - Cerro Largo</t>
  </si>
  <si>
    <t>PCO - PCO DER 05 - 4003973415 - Derrubadas</t>
  </si>
  <si>
    <t>PCO - PCO SAM 04A - 9269 - Santo Antônio das Missões</t>
  </si>
  <si>
    <t>PCT - PCT 01 - 3083286222 - Entre-Ijuís</t>
  </si>
  <si>
    <t>PCO - PCO RED 10 - 3082620920 - Redentora</t>
  </si>
  <si>
    <t>EAT - EAT 02 - 3092470755 - Rosário do Sul</t>
  </si>
  <si>
    <t>PCO - PCO PLU 03 - 3082471191 - Porto Lucena</t>
  </si>
  <si>
    <t>EEE - EEE 01 - 3095397918 - Cacequi</t>
  </si>
  <si>
    <t>ADM - ADM 03 - 4001856615 - Santa Rosa</t>
  </si>
  <si>
    <t>EAT - EAT 03 - 3082471180 - Porto Lucena</t>
  </si>
  <si>
    <t>PCO - PCO CLA 07 - 3082467448 - Cerro Largo</t>
  </si>
  <si>
    <t>PCO - PCO INH 02 - 3085348932 - Inhacorá</t>
  </si>
  <si>
    <t>EAT - EAT 01 - 3085617491 - Barra do Guarita</t>
  </si>
  <si>
    <t>PCO - PCO TIR 15 - 3085291790 - Tiradentes do Sul</t>
  </si>
  <si>
    <t>EAT - EAT 04 Booster Duque de Caxias - 30499089 - Dom Pedrito</t>
  </si>
  <si>
    <t>ETE - EEE 03 / ETE 01 Jarau - 3095297267 - Quaraí</t>
  </si>
  <si>
    <t>PCO - PCO RED 03 - 3082470420 - Redentora</t>
  </si>
  <si>
    <t>PCO - PCO CGO 15 / PCO CGO 12 - 716404 - Cândido Godói</t>
  </si>
  <si>
    <t>ADM - ADM 01 - 3095114676 - São Francisco de Assis</t>
  </si>
  <si>
    <t>PCO - EAT 01 / PCO TIR 12 - 3085266027 - Tiradentes do Sul</t>
  </si>
  <si>
    <t>PCO - PCO HUM 01 - 3082469337 - Humaitá</t>
  </si>
  <si>
    <t>PCO - PCO CLA 02 - 3082467579 - Cerro Largo</t>
  </si>
  <si>
    <t>EEE - EEE 04 - 4003543216 - Quaraí</t>
  </si>
  <si>
    <t>ADM - ADM 01 / ADM 05 US 182 / EAT 09 - 3085039127 - Santa Rosa</t>
  </si>
  <si>
    <t>PCO - PCO ALG PNO 02 - 3095358548 - Alegrete</t>
  </si>
  <si>
    <t>PCO - PCO RED 18 - 3085125469 - Redentora</t>
  </si>
  <si>
    <t>EEE - EEE 06 - 4002095058 - Santa Rosa</t>
  </si>
  <si>
    <t>EAT - EAT 01 - 3085652504 - Crissiumal</t>
  </si>
  <si>
    <t>PCO - PCO DER 04 / PCT 01 - 4003488812 - Derrubadas</t>
  </si>
  <si>
    <t>EAT - EAT 02 - 3082966629 - Entre-Ijuís</t>
  </si>
  <si>
    <t>EEE - EEE 01 - 3095058717 - Rosário do Sul</t>
  </si>
  <si>
    <t>PCO - PCO CNO 04 - 3082470274 - Campo Novo</t>
  </si>
  <si>
    <t>PCO - PCO CBI 05 - 3082470484 - Coronel Bicaco</t>
  </si>
  <si>
    <t>EAT - EAT 02 - 3085024464 - Vista Gaúcha</t>
  </si>
  <si>
    <t>EAB - EAB 01 - 3083096159 - Campina das Missões</t>
  </si>
  <si>
    <t>EEE - EEE 07 - 4002855948 - Alegrete</t>
  </si>
  <si>
    <t>EEE - EEE 09 Medeiros - 4004044110 - Santa Rosa</t>
  </si>
  <si>
    <t>ETA - ADM 01 / EAT 02 / ETA 01 Desativação 23 24 - 3092460547 - Nova Esperança do Sul</t>
  </si>
  <si>
    <t>EEE - EEE 04 - 4003435596 - Santo Ângelo</t>
  </si>
  <si>
    <t>EAT - EAT 01 Booster / RES 01 - 3092982493 - Unistalda</t>
  </si>
  <si>
    <t>EAT - EAT 01 - 3085620683 - Alecrim</t>
  </si>
  <si>
    <t>ADM - ADM 01 - 3092470735 - Rosário do Sul</t>
  </si>
  <si>
    <t>ADM - ADM 01 - 24698067 - Dom Pedrito</t>
  </si>
  <si>
    <t>EEE - EEE 02 - 3085570873 - Santo Ângelo</t>
  </si>
  <si>
    <t>EEE - EEE 02 - 4003486548 - Quaraí</t>
  </si>
  <si>
    <t>ADM - ADM 01 - 3092460886 - São Borja</t>
  </si>
  <si>
    <t>EAT - EAT 02 - 3095264259 - Cacequi</t>
  </si>
  <si>
    <t>ADM - ADM 05 Almoxarifado SURPA/SURFRO / ETA 01 Desativada - 3092473307 - Rosário do Sul</t>
  </si>
  <si>
    <t>PCO - PCO CLA 04 - 3082467572 - Cerro Largo</t>
  </si>
  <si>
    <t>ADM - ADM 02 - 3085476085 - Três Passos</t>
  </si>
  <si>
    <t>PCT - PCT 08 - 4002777989 - Santo Ângelo</t>
  </si>
  <si>
    <t>PCO - PCO SAG 05 - 4003796273 - Santo Ângelo</t>
  </si>
  <si>
    <t>PCO - PCO TPO 11 - 3083290120 - Tenente Portela</t>
  </si>
  <si>
    <t>EAT - EAT 03 - 3085174924 - Guarani das Missões</t>
  </si>
  <si>
    <t>PCO - EAT 03 Rec 3 / PCO CGO 03 - 3082471312 - Cândido Godói</t>
  </si>
  <si>
    <t>ADM - ADM 01 - 16469 - Entre-Ijuís</t>
  </si>
  <si>
    <t>ADM - ADM 02 - 3092467870 - Santiago</t>
  </si>
  <si>
    <t>EAT - EAT 02 - 4001434187 - Porto Xavier</t>
  </si>
  <si>
    <t>ADM - ADM 01 - 3093214688 - Quaraí</t>
  </si>
  <si>
    <t>ADM - ADM 01 - 3092460691 - Cacequi</t>
  </si>
  <si>
    <t>EAT - EAT 05 - 3082469747 - Santa Rosa</t>
  </si>
  <si>
    <t>ADM - ADM 01 - 3082470617 - Santo Augusto</t>
  </si>
  <si>
    <t>ADM - ADM 01 - 3081911564 - Cerro Largo</t>
  </si>
  <si>
    <t>ETE - EEE 01 / ETE 01 - 3085674709 - Braga</t>
  </si>
  <si>
    <t>EAT - EAT 10 - 3085723198 - Santa Rosa</t>
  </si>
  <si>
    <t>PCT - PCT 02 - 3083353975 - Tenente Portela</t>
  </si>
  <si>
    <t>ADM - ADM 01 - 3082466856 - Giruá</t>
  </si>
  <si>
    <t>RES - RES 03 - 4004135614 - Alegrete</t>
  </si>
  <si>
    <t>EAT - EAT 02 - 3083023611 - Boa Vista do Buricá</t>
  </si>
  <si>
    <t>EAB - EAB 01 - 3095653821 - Alegrete</t>
  </si>
  <si>
    <t>ADM - ADM 01 - 3092464228 - Santiago</t>
  </si>
  <si>
    <t>PCO - PCO SFR 14 - 3092946091 - São Francisco de Assis</t>
  </si>
  <si>
    <t>ADM - ADM 01 - 3085131122 - Três de Maio</t>
  </si>
  <si>
    <t>PCO - PCO CBI PRM 01 - 3082454887 - Coronel Bicaco</t>
  </si>
  <si>
    <t>EEE - EEE 03 Loteamento Cerejeiras - 1004962981 - Dom Pedrito</t>
  </si>
  <si>
    <t>ADM - ADM 01 - 3082467053 - São Luiz Gonzaga</t>
  </si>
  <si>
    <t>EAT - EAT 02 - 3082910149 - Porto Lucena</t>
  </si>
  <si>
    <t>ADM - ADM 02 - 3092460888 - São Borja</t>
  </si>
  <si>
    <t>PCT - PCT 10 Não identificado - 3082434432 - Entre-Ijuís</t>
  </si>
  <si>
    <t>EAT - EAT 01 / PCT 01 - 4002649083 - Santiago</t>
  </si>
  <si>
    <t>PCO - ADM 01 / PCO SVS 08 - 3092460461 - São Vicente do Sul</t>
  </si>
  <si>
    <t>RES - RES 02 - 4003458889 - Santo Cristo</t>
  </si>
  <si>
    <t>ADM - ADM 03 - 3092460891 - São Borja</t>
  </si>
  <si>
    <t>ADM - ADM 03 - 3082469766 - Tenente Portela</t>
  </si>
  <si>
    <t>EAT - EAT 02 - 4002313466 - Guarani das Missões</t>
  </si>
  <si>
    <t>RES - RES 02 - 24698725 - Dom Pedrito</t>
  </si>
  <si>
    <t>EAT - EAT 02 - 3085087515 - Tenente Portela</t>
  </si>
  <si>
    <t>ADM - ADM 02 - 7047 - Santo Antônio das Missões</t>
  </si>
  <si>
    <t>ADM - ADM 01 - 3082070480 - Tucunduva</t>
  </si>
  <si>
    <t>RES - RES 01 - 3082466525 - Santo Ângelo</t>
  </si>
  <si>
    <t>PCT - PCT 01 - 3083297612 - Chiapetta</t>
  </si>
  <si>
    <t>ADM - ADM 01 - 3082129433 - Humaitá</t>
  </si>
  <si>
    <t>EAT - EAT 03 - 4002780050 - Boa Vista do Buricá</t>
  </si>
  <si>
    <t>ADM - ADM 01 / RES 01 - 3082471251 - Cândido Godói</t>
  </si>
  <si>
    <t>EAT - EAT 02 - 4002319413 - Santo Ângelo</t>
  </si>
  <si>
    <t>RES - RES 01 - 11346 - Bossoroca</t>
  </si>
  <si>
    <t>ADM - ADM 01 US 190 - 3083321365 - Santo Cristo</t>
  </si>
  <si>
    <t>ADM - ADM 01 - 3082458600 - Vista Gaúcha</t>
  </si>
  <si>
    <t>RES - RES 01 - 4001574898 - Humaitá</t>
  </si>
  <si>
    <t>PCO - PCO INH 03 - 3085015339 - Inhacorá</t>
  </si>
  <si>
    <t>ADM - ADM 02 - 3082471213 - Tuparendi</t>
  </si>
  <si>
    <t>ADM - ADM 02 - 3082692884 - Coronel Bicaco</t>
  </si>
  <si>
    <t>ADM - ADM 01 - 3082714911 - Miraguaí</t>
  </si>
  <si>
    <t>PCO - PCO SAM 03 - 7782 - Santo Antônio das Missões</t>
  </si>
  <si>
    <t>PCO - PCO SAM 02 - 8269 - Santo Antônio das Missões</t>
  </si>
  <si>
    <t>PCO - PCO INH 00 - 9416 - Inhacorá</t>
  </si>
  <si>
    <t>PCO - PCO BOS 01 - 11482 - Bossoroca</t>
  </si>
  <si>
    <t>RES - RES 01 - 24672050 - Dom Pedrito</t>
  </si>
  <si>
    <t>PCO - PCO CBT 90 PCO - PCO CBT 10 - 39673 - Caibaté</t>
  </si>
  <si>
    <t>EEE - EEE 05 - 4003813414 - São Borja</t>
  </si>
  <si>
    <t>ADM - ADM 01 CGH Crissiumal - 4003384268 - Crissiumal</t>
  </si>
  <si>
    <t>ADM - ADM 01 - 3082471186 - Porto Lucena</t>
  </si>
  <si>
    <t>EEE - EEE 07 - 4002631209 - Santa Rosa</t>
  </si>
  <si>
    <t>ADM - ADM 01 - 3082469586 - Independência</t>
  </si>
  <si>
    <t>ETE - ETE 01 Ana Luiza - 3092470748 - Rosário do Sul</t>
  </si>
  <si>
    <t>RES - RES 01 - 4001878858 - Derrubadas</t>
  </si>
  <si>
    <t>EAT - EAT 01 Booster - 4004008012 - Miraguaí</t>
  </si>
  <si>
    <t>EAT - EAT 02 - 3082469361 - Humaitá</t>
  </si>
  <si>
    <t>ADM - ADM 02 - 4003702547 - Tenente Portela</t>
  </si>
  <si>
    <t>RES - RES 06 RESERVATORIO BOOSTER TRÊS PASSOS - 4003803720 - Três Passos</t>
  </si>
  <si>
    <t>ADM - ADM 02 - 3083215806 - Redentora</t>
  </si>
  <si>
    <t>PCO - PCO SVS 03 - 3092463125 - São Vicente do Sul</t>
  </si>
  <si>
    <t>ADM - ADM 03 - 3082662089 - Cerro Largo</t>
  </si>
  <si>
    <t>ADM - ADM 01 - 3081908574 - Guarani das Missões</t>
  </si>
  <si>
    <t>RES - RES 01 - 1071 - Caibaté</t>
  </si>
  <si>
    <t>RES - RES 01 - 33998 - São Miguel das Missões</t>
  </si>
  <si>
    <t>RES - RES 01 - 716406 - Santa Rosa</t>
  </si>
  <si>
    <t>RES - RES 02 - 2402501 - Santa Rosa</t>
  </si>
  <si>
    <t>RES - RES 03 - 2784601 - Santa Rosa</t>
  </si>
  <si>
    <t>RES - RES 03 - 42629683 - Dom Pedrito</t>
  </si>
  <si>
    <t>RES - RES 04 - 54887551 - Dom Pedrito</t>
  </si>
  <si>
    <t>PCT - PCT 01 - 4001408119 - Três Passos</t>
  </si>
  <si>
    <t>PCT - PCT 10 - 4002903281 - Santo Ângelo</t>
  </si>
  <si>
    <t>RES - RES 01 - 3093126257 - São Francisco de Assis</t>
  </si>
  <si>
    <t>RES - RES 02 - 4003595460 - São Francisco de Assis</t>
  </si>
  <si>
    <t>EAT - EAT 03 - 4003857414 - Três de Maio</t>
  </si>
  <si>
    <t>RES - RES 01 - 3083277631 - Tiradentes do Sul</t>
  </si>
  <si>
    <t>RES - RES 04 - 3082981582 - Santa Rosa</t>
  </si>
  <si>
    <t>EEE - EEE 05 - 4002063065 - Santa Rosa</t>
  </si>
  <si>
    <t>RES - RES 02 - 4003380244 - Independência</t>
  </si>
  <si>
    <t>RES - RES 01 - 3085150522 - Horizontina</t>
  </si>
  <si>
    <t>RES - RES 05 - 3085762560 - Santa Rosa</t>
  </si>
  <si>
    <t>PCT - PCT 03 - 4001408369 - Três Passos</t>
  </si>
  <si>
    <t>PCT - PCT 08 - 3083306228 - Três de Maio</t>
  </si>
  <si>
    <t>RES - RES 01 - 3085743906 - Crissiumal</t>
  </si>
  <si>
    <t>PCT - PCT 02 - 3095489567 - Alegrete</t>
  </si>
  <si>
    <t>ADM - ADM 03 - 3092467876 - Santiago</t>
  </si>
  <si>
    <t>RES - RES 01 - 4001550091 - Independência</t>
  </si>
  <si>
    <t>RES - RES 01 RES Ap Metalicos 2 x 50m3 - 4003056479 - Porto Xavier</t>
  </si>
  <si>
    <t>RES - RES 01 - 3085310516 - Tucunduva</t>
  </si>
  <si>
    <t>RES - RES 01 - 3085766049 - Boa Vista do Buricá</t>
  </si>
  <si>
    <t>RES - RES 02 Pinheiro Machado / Metálico - 4001574815 - Humaitá</t>
  </si>
  <si>
    <t>RES - RES 01 - 4003056486 - Porto Lucena</t>
  </si>
  <si>
    <t>RES - RES 01 - 4003332951 - Coronel Bicaco</t>
  </si>
  <si>
    <t>PCT - PCT 01 - 3095788996 - Maçambará</t>
  </si>
  <si>
    <t>PCT - PCT 07 - 4002672829 - Santo Ângelo</t>
  </si>
  <si>
    <t>RES - RES 02 - 3093272625 - Alegrete</t>
  </si>
  <si>
    <t>PCO - PCO CHI 03 - 3082469438 - Chiapetta</t>
  </si>
  <si>
    <t>PCT - PCT 17 - 4003354489 - Alegrete</t>
  </si>
  <si>
    <t>RES - RES 01 - 3093281802 - Jaguari</t>
  </si>
  <si>
    <t>PCT - PCT 09 - 4002903262 - Santo Ângelo</t>
  </si>
  <si>
    <t>PCT - PCT 14 - 4003105732 - Santo Ângelo</t>
  </si>
  <si>
    <t>RES - RES 01 - 4003280345 - Santo Augusto</t>
  </si>
  <si>
    <t>RES - RES 01 - 3082978195 - Giruá</t>
  </si>
  <si>
    <t>ADM - ADM 01 - 3085243621 - Tiradentes do Sul</t>
  </si>
  <si>
    <t>RES - RES 01 - 4001423895 - Cerro Largo</t>
  </si>
  <si>
    <t>RES - RES 01 - 4002045545 - Alecrim</t>
  </si>
  <si>
    <t>PCO - PCO ALG PNO 01C - 3092469113 - Alegrete</t>
  </si>
  <si>
    <t>PCT - PCT 01 - 3095489566 - Alegrete</t>
  </si>
  <si>
    <t>ADM - ADM 04 - 3081866963 - Santo Ângelo</t>
  </si>
  <si>
    <t>PCO - PCO SLU 01 - 3082466084 - São Luiz Gonzaga</t>
  </si>
  <si>
    <t>PCO - PCO GIR 08 - 3082466841 - Giruá</t>
  </si>
  <si>
    <t>PCO - PCO GIR 11 - 3082466872 - Giruá</t>
  </si>
  <si>
    <t>ADM - ADM 02 - 3082466898 - Giruá</t>
  </si>
  <si>
    <t>RES - RES 01 - 3082469797 - Três Passos</t>
  </si>
  <si>
    <t>RES - RES 02 - 3082469804 - Três Passos</t>
  </si>
  <si>
    <t>PCO - PCO PLU 04 - 3082471166 - Porto Lucena</t>
  </si>
  <si>
    <t>PCO - PCO TDI 01 - 3082471230 - Tuparendi</t>
  </si>
  <si>
    <t>PCT - PCT 05 - 3082471844 - Porto Xavier</t>
  </si>
  <si>
    <t>RES - RES 01 - 3082874488 - Redentora</t>
  </si>
  <si>
    <t>PCO - PCO CLA 17 - 3083033618 - Cerro Largo</t>
  </si>
  <si>
    <t>ADM - ADM 02 - 3083035853 - Doutor Maurício Cardoso</t>
  </si>
  <si>
    <t>RES - RES 01 - 3083270125 - Santo Cristo</t>
  </si>
  <si>
    <t>PCO - PCO SNO 05 - 3083334968 - Sede Nova</t>
  </si>
  <si>
    <t>PCO - PCO SCR 22 - 3083354359 - Santo Cristo</t>
  </si>
  <si>
    <t>RES - RES 13 - 3085480044 - Cerro Largo</t>
  </si>
  <si>
    <t>PCO - PCO MIR 08 - 3085602638 - Miraguaí</t>
  </si>
  <si>
    <t>PCO - PCO SAG 03 - 3085763181 - Santo Ângelo</t>
  </si>
  <si>
    <t>PCT - PCT 01 - 3085763198 - Santo Ângelo</t>
  </si>
  <si>
    <t>PCO - PCO SAG 02 - 3085763211 - Santo Ângelo</t>
  </si>
  <si>
    <t>PCT - PCT 03 - 3095489569 - Alegrete</t>
  </si>
  <si>
    <t>PCT - PCT 04 - 3095489575 - Alegrete</t>
  </si>
  <si>
    <t>PCT - PCT 05 - 3095489578 - Alegrete</t>
  </si>
  <si>
    <t>PCT - PCT 06 - 3095489580 - Alegrete</t>
  </si>
  <si>
    <t>PCT - PCT 07 - 3095489585 - Alegrete</t>
  </si>
  <si>
    <t>PCT - PCT 08 - 3095489590 - Alegrete</t>
  </si>
  <si>
    <t>PCT - PCT 09 - 3095489591 - Alegrete</t>
  </si>
  <si>
    <t>PCT - PCT 10 - 3095489594 - Alegrete</t>
  </si>
  <si>
    <t>PCT - PCT 11 - 3095489595 - Alegrete</t>
  </si>
  <si>
    <t>PCT - PCT 12 - 3095489597 - Alegrete</t>
  </si>
  <si>
    <t>PCT - PCT 13 - 3095498820 - Alegrete</t>
  </si>
  <si>
    <t>PCT - PCT 14 - 3095498828 - Alegrete</t>
  </si>
  <si>
    <t>PCT - PCT 15 - 3095512388 - Alegrete</t>
  </si>
  <si>
    <t>EEE - EEE 02 - 3095628386 - Alegrete</t>
  </si>
  <si>
    <t>PCO - PCO ALG 20 - 4002683219 - Alegrete</t>
  </si>
  <si>
    <t>PCT - PCT 29 - 4003354504 - Alegrete</t>
  </si>
  <si>
    <t>PCO - PCO ALG 17 - 4003354523 - Alegrete</t>
  </si>
  <si>
    <t>PCT - PCT 18 - 4003354539 - Alegrete</t>
  </si>
  <si>
    <t>PCT - PCT 19 - 4003354551 - Alegrete</t>
  </si>
  <si>
    <t>PCT - PCT 20 - 4003354568 - Alegrete</t>
  </si>
  <si>
    <t>PCT - PCT 21 - 4003354580 - Alegrete</t>
  </si>
  <si>
    <t>PCT - PCT 22 - 4003354593 - Alegrete</t>
  </si>
  <si>
    <t>ADM - ADM 02 - 4003354602 - Alegrete</t>
  </si>
  <si>
    <t>PCT - PCT 23 - 4003354610 - Alegrete</t>
  </si>
  <si>
    <t>PCT - PCT 24 - 4003354631 - Alegrete</t>
  </si>
  <si>
    <t>PCT - PCT 26 - 4003439250 - Alegrete</t>
  </si>
  <si>
    <t>PCT - PCT 27 - 4003439310 - Alegrete</t>
  </si>
  <si>
    <t>PCO - PCO CCQ 03 - 3092460715 - Cacequi</t>
  </si>
  <si>
    <t>ETE - ETE 01 - 3095178551 - Cacequi</t>
  </si>
  <si>
    <t>PCT - PCT 01 - 4004145488 - Cacequi</t>
  </si>
  <si>
    <t>PCT - PCT 02 - 4001370981 - Santo Ângelo</t>
  </si>
  <si>
    <t>PCT - PCT 03 - 4001377191 - Santo Ângelo</t>
  </si>
  <si>
    <t>PCT - PCT 04 - 4001388573 - Santo Ângelo</t>
  </si>
  <si>
    <t>PCT - PCT 05 - 4001388604 - Santo Ângelo</t>
  </si>
  <si>
    <t>PCT - PCT 06 - 4001388686 - Santo Ângelo</t>
  </si>
  <si>
    <t>PCT - PCT 02 - 4001408245 - Três Passos</t>
  </si>
  <si>
    <t>PCT - PCT 04 - 4001419414 - Três Passos</t>
  </si>
  <si>
    <t>PCT - PCT 05 - 4001480960 - Três Passos</t>
  </si>
  <si>
    <t>RES - RES 01 - 4001519583 - São Luiz Gonzaga</t>
  </si>
  <si>
    <t>RES - RES 17 - 4001934878 - Santa Rosa</t>
  </si>
  <si>
    <t>EEE - EEE 04 - 4002061475 - Santa Rosa</t>
  </si>
  <si>
    <t>RES - RES 06 - 4002501536 - Santa Rosa</t>
  </si>
  <si>
    <t>PCT - PCT 01 - 3092470746 - Rosário do Sul</t>
  </si>
  <si>
    <t>RES - RES 01 - 4002880303 - Guarani das Missões</t>
  </si>
  <si>
    <t>RES - RES 02 - 4002880415 - Guarani das Missões</t>
  </si>
  <si>
    <t>PCT - PCT 11 - 4002989272 - Santo Ângelo</t>
  </si>
  <si>
    <t>PCT - PCT 12 - 4002989289 - Santo Ângelo</t>
  </si>
  <si>
    <t>PCT - PCT 13 - 4003015964 - Santo Ângelo</t>
  </si>
  <si>
    <t>RES - RES 01 - 4003115611 - Campina das Missões</t>
  </si>
  <si>
    <t>PCO - PCO EIJ 05 - 4003352746 - Entre-Ijuís</t>
  </si>
  <si>
    <t>ADM - ADM 03 - 4003352748 - Entre-Ijuís</t>
  </si>
  <si>
    <t>EEE - EEE 05 - 4004211883 - Rosário do Sul</t>
  </si>
  <si>
    <t>EEE - EEE 05 - 4003435646 - Santo Ângelo</t>
  </si>
  <si>
    <t>RES - RES 03 - 4003437375 - Campina das Missões</t>
  </si>
  <si>
    <t>RES - RES 08 - 4003438083 - Cerro Largo</t>
  </si>
  <si>
    <t>EEE - EEE 01 - 4003445450 - Santo Ângelo</t>
  </si>
  <si>
    <t>EEE - EEE 04 - 4003813398 - São Borja</t>
  </si>
  <si>
    <t>RES - RES 02 - 4003564972 - Unistalda</t>
  </si>
  <si>
    <t>PCT - PCT 01 - 4003597541 - São Francisco de Assis</t>
  </si>
  <si>
    <t>EEE - EEE 08 - 4004082394 - São Borja</t>
  </si>
  <si>
    <t>EEE - EEE 03 - 4004147074 - São Borja</t>
  </si>
  <si>
    <t>RES - RES 08 Santa Rosa - 4003896291 - Santa Rosa</t>
  </si>
  <si>
    <t>EEE - EEE 11 - 4004130850 - Santo Ângelo</t>
  </si>
  <si>
    <t>PCO - PCO ALG 20A - 3092496823 - Alegrete</t>
  </si>
  <si>
    <t>ADM - ADM 03 Almoxarifado SUFRO - 3092553536 - Alegrete</t>
  </si>
  <si>
    <t>EEE - EEE 05 - 3095277443 - Alegrete</t>
  </si>
  <si>
    <t>EAB - EAB 01 - 3082469663 - Crissiumal</t>
  </si>
  <si>
    <t>EAT - EAT 03 - 3082469755 - Três Passos</t>
  </si>
  <si>
    <t>ETE - ETE 01 Cohab - 3082470368 - Santo Ângelo</t>
  </si>
  <si>
    <t>ETA - EAT 02 / ETA 01 - 3082471505 - Três Passos</t>
  </si>
  <si>
    <t>ETA - ETA 01 / PCO SMR 20 - 3082471637 - São Martinho</t>
  </si>
  <si>
    <t>PCO - PCO SCR 10 - 3082474522 - Santo Cristo</t>
  </si>
  <si>
    <t>PCO - PCO TDI 11 - 3082475087 - Tuparendi</t>
  </si>
  <si>
    <t>ETA - EAT 04 / ETA 01 / PCO PXA 02A / PCO PXA 02 - 3082475165 - Porto Xavier</t>
  </si>
  <si>
    <t>ETA - EAT 02 / ETA 01 - 3082475252 - Horizontina</t>
  </si>
  <si>
    <t>EAT - EAT 06 - 3082475521 - Santa Rosa</t>
  </si>
  <si>
    <t>EAT - EAT 07 - 3082475985 - Santa Rosa</t>
  </si>
  <si>
    <t>PCO - PCO SLU 05 - 3082624261 - São Luiz Gonzaga</t>
  </si>
  <si>
    <t>PCO - PCO SLU 06 - 3082624315 - São Luiz Gonzaga</t>
  </si>
  <si>
    <t>ETA - EAT 01 / ETA 01 - 3083073295 - Boa Vista do Buricá</t>
  </si>
  <si>
    <t>ETA - EAT 02 / ETA 01 - 3083077896 - Crissiumal</t>
  </si>
  <si>
    <t>ETA - EAT 01 / ETA 01 - 3083096168 - Campina das Missões</t>
  </si>
  <si>
    <t>EAB - EAB 01 - 3083110273 - Boa Vista do Buricá</t>
  </si>
  <si>
    <t>PCO - PCO TPO FON 123 - 3083110395 - Tenente Portela</t>
  </si>
  <si>
    <t>PCO - PCO CLA 03 - 3083152274 - Cerro Largo</t>
  </si>
  <si>
    <t>EAB - EAB 01 - 3092460561 - Nova Esperança do Sul</t>
  </si>
  <si>
    <t>PCO - PCO ALG 09 - 3095786145 - Alegrete</t>
  </si>
  <si>
    <t>PCO - PCO ALG 28 - 3095800369 - Alegrete</t>
  </si>
  <si>
    <t>PCO - PCO ALG 14A - 3095800378 - Alegrete</t>
  </si>
  <si>
    <t>EAB - EAB 02 Pré-recalque - 3093326489 - Nova Esperança do Sul</t>
  </si>
  <si>
    <t>EEE - EEE 01 - 4003418684 - Alegrete</t>
  </si>
  <si>
    <t>PCO - PCO CCQ 08A / PCO CCQ 09A / PCO CCQ 10 / PCO CCQ 15A / PCO CCQ 01 / ETA 01 De Filtração - 3095771039 - Cacequi</t>
  </si>
  <si>
    <t>EAB - EAB 01 - 3095770725 - Jaguari</t>
  </si>
  <si>
    <t>PCO - ETA 01 / PCO QUA 01A / PCO QUA PCO 02 - 3092472114 - Quaraí</t>
  </si>
  <si>
    <t>PCO - PCO SFR 10 - 3095800364 - São Francisco de Assis</t>
  </si>
  <si>
    <t>PCO - PCO SFR 12 - 3095800366 - São Francisco de Assis</t>
  </si>
  <si>
    <t>EEE - EEE 01 - 3095296676 - Quaraí</t>
  </si>
  <si>
    <t>PCO - PCO QUA 05B - 3095339059 - Quaraí</t>
  </si>
  <si>
    <t>ETA - EAT 03 / ETA 02 - 4002332097 - Santa Rosa</t>
  </si>
  <si>
    <t>EEE - EEE 03 - 4002680888 - Santo Ângelo</t>
  </si>
  <si>
    <t>ETA - EAT 04 / ETA 02 - 3092473642 - Rosário do Sul</t>
  </si>
  <si>
    <t>EAB - EAB 01 / EAB 02 Rio Ibicuí ETA 2 - 3092473662 - Rosário do Sul</t>
  </si>
  <si>
    <t>EAB - EAB 01 - 3092462551 - São Borja</t>
  </si>
  <si>
    <t>ETA - EAT 04 / ETA 02 - 3095656055 - São Borja</t>
  </si>
  <si>
    <t>EAT - EAT 02 - 3095800380 - São Borja</t>
  </si>
  <si>
    <t>PCO - PCO SVS 10A - 3093199793 - São Vicente do Sul</t>
  </si>
  <si>
    <t>COD_Fatura</t>
  </si>
  <si>
    <t>ETA</t>
  </si>
  <si>
    <t>POCOS</t>
  </si>
  <si>
    <t>COD</t>
  </si>
  <si>
    <t>UNIDADE</t>
  </si>
  <si>
    <t>TIPO</t>
  </si>
  <si>
    <t>COD. Ext.</t>
  </si>
  <si>
    <t>406-5</t>
  </si>
  <si>
    <t>SURMISS</t>
  </si>
  <si>
    <t>ETA I</t>
  </si>
  <si>
    <t>ALG-01C</t>
  </si>
  <si>
    <t>ALG-POCO-01C</t>
  </si>
  <si>
    <t>POCO</t>
  </si>
  <si>
    <t>ETA de Alegrete</t>
  </si>
  <si>
    <t>ALG-02</t>
  </si>
  <si>
    <t>ALG-POCO-02</t>
  </si>
  <si>
    <t>ETA de Barra do Quaraí</t>
  </si>
  <si>
    <t>ALG-07</t>
  </si>
  <si>
    <t>ALG-POCO-07</t>
  </si>
  <si>
    <t>ETA II</t>
  </si>
  <si>
    <t>ALG-09</t>
  </si>
  <si>
    <t>ALG-POCO-09</t>
  </si>
  <si>
    <t>ETA de São Martinho/FON-01</t>
  </si>
  <si>
    <t>ALG-10</t>
  </si>
  <si>
    <t>ALG-POCO-10</t>
  </si>
  <si>
    <t>ETA de Dom Pedrito</t>
  </si>
  <si>
    <t>ALG-11C</t>
  </si>
  <si>
    <t>ALG-POCO-11C</t>
  </si>
  <si>
    <t>ETA de Três de Maio</t>
  </si>
  <si>
    <t>ALG-14A</t>
  </si>
  <si>
    <t>ALG-POCO-14A</t>
  </si>
  <si>
    <t>ETA de Itaqui</t>
  </si>
  <si>
    <t>ALG-15B</t>
  </si>
  <si>
    <t>ALG-POCO-15B</t>
  </si>
  <si>
    <t>ETA de Jaguari</t>
  </si>
  <si>
    <t>ALG-20A</t>
  </si>
  <si>
    <t>ALG-POCO-20</t>
  </si>
  <si>
    <t>ALG-20</t>
  </si>
  <si>
    <t>ETA de São Luiz Gonzaga</t>
  </si>
  <si>
    <t>ALG-22</t>
  </si>
  <si>
    <t>ALG-POCO-20A</t>
  </si>
  <si>
    <t>ETA de Nova Esperança do Sul</t>
  </si>
  <si>
    <t>ALG-23</t>
  </si>
  <si>
    <t>ALG-POCO-22</t>
  </si>
  <si>
    <t>ETA de Rosário do Sul</t>
  </si>
  <si>
    <t>ALG-25</t>
  </si>
  <si>
    <t>ALG-POCO-23</t>
  </si>
  <si>
    <t>ETA de Três Passos</t>
  </si>
  <si>
    <t>ALG-27A</t>
  </si>
  <si>
    <t>ALG-POCO-25</t>
  </si>
  <si>
    <t>ETA de Santiago</t>
  </si>
  <si>
    <t>ALG-28</t>
  </si>
  <si>
    <t>ALG-POCO-27A</t>
  </si>
  <si>
    <t>ETA de São Borja</t>
  </si>
  <si>
    <t>ALG-29</t>
  </si>
  <si>
    <t>ALG-POCO-28</t>
  </si>
  <si>
    <t>ETA de Unistalda</t>
  </si>
  <si>
    <t>ALG-30</t>
  </si>
  <si>
    <t>ALG-POCO-29</t>
  </si>
  <si>
    <t>ETA de Alecrim</t>
  </si>
  <si>
    <t>PNO-02</t>
  </si>
  <si>
    <t>ALG-POCO-30</t>
  </si>
  <si>
    <t>ETA de Boa Vista do Buricá</t>
  </si>
  <si>
    <t>STD-001</t>
  </si>
  <si>
    <t>BOS-POCO-02</t>
  </si>
  <si>
    <t>BOS-02</t>
  </si>
  <si>
    <t>ETA de Campina  das Missões</t>
  </si>
  <si>
    <t>BQU-01</t>
  </si>
  <si>
    <t>BOS-POCO-04</t>
  </si>
  <si>
    <t>BOS-04</t>
  </si>
  <si>
    <t>ETA de Cândido Godóy</t>
  </si>
  <si>
    <t>BQU-01A</t>
  </si>
  <si>
    <t>BOS-POCO-06</t>
  </si>
  <si>
    <t>BOS-06</t>
  </si>
  <si>
    <t>ETA de Crissiumal/CSS-03</t>
  </si>
  <si>
    <t>BQU-POCO-01</t>
  </si>
  <si>
    <t>ETA de Horizontina</t>
  </si>
  <si>
    <t>BQU-POCO-01A</t>
  </si>
  <si>
    <t>ETA de Porto Xavier</t>
  </si>
  <si>
    <t>CCQ-POCO-13</t>
  </si>
  <si>
    <t>CCQ-13</t>
  </si>
  <si>
    <t>ECZ-POCO-03A</t>
  </si>
  <si>
    <t>ECZ-03A</t>
  </si>
  <si>
    <t>SISTEMA1(CCQ-06A_07A_10_15A)</t>
  </si>
  <si>
    <t>ETA ETA-Alegrete</t>
  </si>
  <si>
    <t>ITQ-01</t>
  </si>
  <si>
    <t>ETA ETA-Quaraí</t>
  </si>
  <si>
    <t>ITQ-04</t>
  </si>
  <si>
    <t>ETA ETA-Pedrito</t>
  </si>
  <si>
    <t>ITQ-2C</t>
  </si>
  <si>
    <t>ETA ETA-Itaqui</t>
  </si>
  <si>
    <t>MAM-1A</t>
  </si>
  <si>
    <t>ETA ETA-Jaguari</t>
  </si>
  <si>
    <t>MVI-02</t>
  </si>
  <si>
    <t>ETA ETA-Sul</t>
  </si>
  <si>
    <t>MVI-04</t>
  </si>
  <si>
    <t>ETA ETA-Santiago</t>
  </si>
  <si>
    <t>MVI-05</t>
  </si>
  <si>
    <t>ETA ETA-Unistalda</t>
  </si>
  <si>
    <t>NES-03</t>
  </si>
  <si>
    <t>ETA ETA-II</t>
  </si>
  <si>
    <t>ETA II_ROS</t>
  </si>
  <si>
    <t>QUA-01A</t>
  </si>
  <si>
    <t>ETA II_SB</t>
  </si>
  <si>
    <t>QUA-02C</t>
  </si>
  <si>
    <t>ITQ-POCO-01</t>
  </si>
  <si>
    <t>QUA-02A</t>
  </si>
  <si>
    <t>ITQ-POCO-04</t>
  </si>
  <si>
    <t>QUA-04</t>
  </si>
  <si>
    <t>ITQ-POCO-2C</t>
  </si>
  <si>
    <t>QUA-05B</t>
  </si>
  <si>
    <t>MAM-POCO-1A</t>
  </si>
  <si>
    <t>QUA-06</t>
  </si>
  <si>
    <t>MVI-POCO-02</t>
  </si>
  <si>
    <t>QUA-08</t>
  </si>
  <si>
    <t>MVI-POCO-04</t>
  </si>
  <si>
    <t>QUA-09</t>
  </si>
  <si>
    <t>MVI-POCO-05</t>
  </si>
  <si>
    <t>SFR-09</t>
  </si>
  <si>
    <t>NES-POCO-03</t>
  </si>
  <si>
    <t>SFR-10</t>
  </si>
  <si>
    <t>PNO-POCO-02</t>
  </si>
  <si>
    <t>SFR-12</t>
  </si>
  <si>
    <t>QUA-POCO-01A</t>
  </si>
  <si>
    <t>SFR-14</t>
  </si>
  <si>
    <t>QUA-POCO-02C</t>
  </si>
  <si>
    <t>SFR-16</t>
  </si>
  <si>
    <t>QUA-POCO-04</t>
  </si>
  <si>
    <t>SFR-17</t>
  </si>
  <si>
    <t>QUA-POCO-05B</t>
  </si>
  <si>
    <t>SISTEMA-01(SVS-03_06)</t>
  </si>
  <si>
    <t>QUA-POCO-06</t>
  </si>
  <si>
    <t>SVS-09</t>
  </si>
  <si>
    <t>QUA-POCO-08</t>
  </si>
  <si>
    <t>SVS-10A</t>
  </si>
  <si>
    <t>SFR-POCO-09</t>
  </si>
  <si>
    <t>SVS-11</t>
  </si>
  <si>
    <t>SFR-POCO-10</t>
  </si>
  <si>
    <t>SAM-04A</t>
  </si>
  <si>
    <t>SFR-POCO-12</t>
  </si>
  <si>
    <t>SAM-05</t>
  </si>
  <si>
    <t>SFR-POCO-14</t>
  </si>
  <si>
    <t>SAM-06</t>
  </si>
  <si>
    <t>SFR-POCO-16</t>
  </si>
  <si>
    <t>SAM-07</t>
  </si>
  <si>
    <t>SFR-POCO-17</t>
  </si>
  <si>
    <t>BRA-01</t>
  </si>
  <si>
    <t>BRA-02</t>
  </si>
  <si>
    <t>STD-POCO-001</t>
  </si>
  <si>
    <t>BRA-05</t>
  </si>
  <si>
    <t>SVS-POCO-09</t>
  </si>
  <si>
    <t>CNO-08</t>
  </si>
  <si>
    <t>SVS-POCO-10A</t>
  </si>
  <si>
    <t>CNO-12</t>
  </si>
  <si>
    <t>SVS-POCO-11</t>
  </si>
  <si>
    <t>SISTEMA 1 (CNO-01/CNO-03A/CNO-04)</t>
  </si>
  <si>
    <t>CBI - 01</t>
  </si>
  <si>
    <t>CBI - 02</t>
  </si>
  <si>
    <t>CBI - 04</t>
  </si>
  <si>
    <t>CBI - 05</t>
  </si>
  <si>
    <t>CBI - 06</t>
  </si>
  <si>
    <t>PRM-01</t>
  </si>
  <si>
    <t>RED-01A</t>
  </si>
  <si>
    <t>RED-03</t>
  </si>
  <si>
    <t>RED-04</t>
  </si>
  <si>
    <t>RED-07</t>
  </si>
  <si>
    <t>RED-10</t>
  </si>
  <si>
    <t>RED-18</t>
  </si>
  <si>
    <t>BAG - 01</t>
  </si>
  <si>
    <t>BAG - 03</t>
  </si>
  <si>
    <t>SISTEMA 1 (BPO-3AA/FON-001)</t>
  </si>
  <si>
    <t>CODIGO_REPET.</t>
  </si>
  <si>
    <t>EQP_UNICO</t>
  </si>
  <si>
    <t>VOLUME_CONSIDERADO</t>
  </si>
  <si>
    <t>PCO</t>
  </si>
  <si>
    <t>PCO ALG 02</t>
  </si>
  <si>
    <t>PCO ALG 07</t>
  </si>
  <si>
    <t>ETE</t>
  </si>
  <si>
    <t>ETE 01 Ibirapuitã</t>
  </si>
  <si>
    <t>ETE 01</t>
  </si>
  <si>
    <t>ETE 02 Areias Brancas</t>
  </si>
  <si>
    <t>ETE 01 Ana Luiza</t>
  </si>
  <si>
    <t>EEE</t>
  </si>
  <si>
    <t>EEE 02</t>
  </si>
  <si>
    <t>EEE 05</t>
  </si>
  <si>
    <t>EEE 6.4</t>
  </si>
  <si>
    <t>EEE 01</t>
  </si>
  <si>
    <t>EAT</t>
  </si>
  <si>
    <t>EAT 03</t>
  </si>
  <si>
    <t>EAT 02</t>
  </si>
  <si>
    <t>EAT 05 Booster Coronel Jacinto</t>
  </si>
  <si>
    <t>EAT 04 Booster Duque de Caxias</t>
  </si>
  <si>
    <t>EAT 03 Booster Alto Alegre</t>
  </si>
  <si>
    <t>EAT 05</t>
  </si>
  <si>
    <t>EAT 04</t>
  </si>
  <si>
    <t>EAT 01</t>
  </si>
  <si>
    <t>PCT</t>
  </si>
  <si>
    <t>PCT 01</t>
  </si>
  <si>
    <t>PCO ALG 01C</t>
  </si>
  <si>
    <t>PCO ALG 23</t>
  </si>
  <si>
    <t>PCO ALG 28</t>
  </si>
  <si>
    <t>PCO ALG 09</t>
  </si>
  <si>
    <t>PCO ALG 10</t>
  </si>
  <si>
    <t>PCO ALG 15B</t>
  </si>
  <si>
    <t>PCO ALG 20A</t>
  </si>
  <si>
    <t>PCO ALG 22</t>
  </si>
  <si>
    <t>PCO ALG 25</t>
  </si>
  <si>
    <t>PCO ALG 29</t>
  </si>
  <si>
    <t>PCO ALG STD 01</t>
  </si>
  <si>
    <t>ADM</t>
  </si>
  <si>
    <t>ADM 02</t>
  </si>
  <si>
    <t>PCO ALG PNO 01C</t>
  </si>
  <si>
    <t>PCO ALG PNO 02</t>
  </si>
  <si>
    <t>PCO ALG 20</t>
  </si>
  <si>
    <t>PCO ALG 30</t>
  </si>
  <si>
    <t>PCO ALG 11C</t>
  </si>
  <si>
    <t>PCO ALG 17</t>
  </si>
  <si>
    <t>PCO ITQ 01</t>
  </si>
  <si>
    <t>PCO MVI 04</t>
  </si>
  <si>
    <t>PCO MVI 05</t>
  </si>
  <si>
    <t>PCO QUA 09</t>
  </si>
  <si>
    <t>PCO QUA 02A</t>
  </si>
  <si>
    <t>PCO QUA 02C</t>
  </si>
  <si>
    <t>PCO QUA 05B</t>
  </si>
  <si>
    <t>PCO QUA 06</t>
  </si>
  <si>
    <t>PCO QUA 08</t>
  </si>
  <si>
    <t>PCO QUA 04</t>
  </si>
  <si>
    <t>PCO BOS 01</t>
  </si>
  <si>
    <t>PCO BOS 02</t>
  </si>
  <si>
    <t>PCO BOS 04</t>
  </si>
  <si>
    <t>PCO BOS 06</t>
  </si>
  <si>
    <t>PCO CCQ 07A</t>
  </si>
  <si>
    <t>PCO CCQ 13</t>
  </si>
  <si>
    <t>PCO CCQ 03</t>
  </si>
  <si>
    <t>PCO CCQ 06A</t>
  </si>
  <si>
    <t>PCO ECZ 03A</t>
  </si>
  <si>
    <t>PCO SFR 09</t>
  </si>
  <si>
    <t>PCO SFR 10</t>
  </si>
  <si>
    <t>PCO SFR 12</t>
  </si>
  <si>
    <t>PCO SFR 14</t>
  </si>
  <si>
    <t>PCO SFR 16</t>
  </si>
  <si>
    <t>5796-7</t>
  </si>
  <si>
    <t>PCO SMS 04A</t>
  </si>
  <si>
    <t>PCO SVS 11</t>
  </si>
  <si>
    <t>PCO SVS 09</t>
  </si>
  <si>
    <t>PCO SVS 10A</t>
  </si>
  <si>
    <t>PCO SVS 06</t>
  </si>
  <si>
    <t>PCO ALG 14A</t>
  </si>
  <si>
    <t>40161-7</t>
  </si>
  <si>
    <t>PCO SMS 05</t>
  </si>
  <si>
    <t>ETA 01</t>
  </si>
  <si>
    <t>607-6</t>
  </si>
  <si>
    <t>PCO ACE 02</t>
  </si>
  <si>
    <t>PCO ALG 27</t>
  </si>
  <si>
    <t>PCO ALG 27A</t>
  </si>
  <si>
    <t>EEE 07</t>
  </si>
  <si>
    <t>ADM 05</t>
  </si>
  <si>
    <t>PCT 29</t>
  </si>
  <si>
    <t>PCT 06</t>
  </si>
  <si>
    <t>RES</t>
  </si>
  <si>
    <t>RES 02</t>
  </si>
  <si>
    <t>PCT 27</t>
  </si>
  <si>
    <t>PCT 17</t>
  </si>
  <si>
    <t>PCT 18</t>
  </si>
  <si>
    <t>PCT 19</t>
  </si>
  <si>
    <t>PCT 20</t>
  </si>
  <si>
    <t>PCT 21</t>
  </si>
  <si>
    <t>PCT 22</t>
  </si>
  <si>
    <t>PCT 23</t>
  </si>
  <si>
    <t>PCT 24</t>
  </si>
  <si>
    <t>PCT 12</t>
  </si>
  <si>
    <t>PCT 13</t>
  </si>
  <si>
    <t>PCT 15</t>
  </si>
  <si>
    <t>PCT 05</t>
  </si>
  <si>
    <t>PCT 02</t>
  </si>
  <si>
    <t>PCT 03</t>
  </si>
  <si>
    <t>PCT 04</t>
  </si>
  <si>
    <t>PCT 07</t>
  </si>
  <si>
    <t>PCT 11</t>
  </si>
  <si>
    <t>PCT 14</t>
  </si>
  <si>
    <t>PCT 08</t>
  </si>
  <si>
    <t>PCT 09</t>
  </si>
  <si>
    <t>PCT 10</t>
  </si>
  <si>
    <t>PCT 26</t>
  </si>
  <si>
    <t>ADM 06</t>
  </si>
  <si>
    <t>PCO BQU 01A</t>
  </si>
  <si>
    <t>PCO BQU 01</t>
  </si>
  <si>
    <t>PCO ITQ 02C</t>
  </si>
  <si>
    <t>PCO ITQ 02</t>
  </si>
  <si>
    <t>RES 01</t>
  </si>
  <si>
    <t>PCO MAM 01</t>
  </si>
  <si>
    <t>PCO MAM 01A</t>
  </si>
  <si>
    <t>ADM 01</t>
  </si>
  <si>
    <t>PCO MVI 02</t>
  </si>
  <si>
    <t>PCO QUA 01A</t>
  </si>
  <si>
    <t>PCO QUA PCO 02</t>
  </si>
  <si>
    <t>EEE 03</t>
  </si>
  <si>
    <t>ETE 01 Jarau</t>
  </si>
  <si>
    <t>ETA 02</t>
  </si>
  <si>
    <t>ADM 03</t>
  </si>
  <si>
    <t>EAT 02 / ETA 01</t>
  </si>
  <si>
    <t>PCO CCQ 08A / PCO CCQ 09A / PCO CCQ 10 / PCO CCQ 15A / PCO CCQ 01 / ETA 01 De Filtração</t>
  </si>
  <si>
    <t>PCO CCQ 10A / PCO CCQ 10</t>
  </si>
  <si>
    <t>EAT 01 / ETA 01</t>
  </si>
  <si>
    <t>EAT 02 / ETA 02</t>
  </si>
  <si>
    <t>RES 04</t>
  </si>
  <si>
    <t>RES 03</t>
  </si>
  <si>
    <t>ADM 01 / EAT 02 / ETA 01</t>
  </si>
  <si>
    <t>ADM 01 / EAT 02 / ETA 01 Desativação 23 24</t>
  </si>
  <si>
    <t>EAB</t>
  </si>
  <si>
    <t>EAB 01 / EAB 02 Rio Ibicuí ETA 2</t>
  </si>
  <si>
    <t>ADM 05 Almoxarifado SURPA/SURFRO / ETA 01 Desativada</t>
  </si>
  <si>
    <t>EAT 04 / ETA 02</t>
  </si>
  <si>
    <t>EAT 03 / ETA 01</t>
  </si>
  <si>
    <t>PCO SVS 03 / PCO SVS 04</t>
  </si>
  <si>
    <t>ADM 01 / PCO SVS 08</t>
  </si>
  <si>
    <t>EAB 01 / EAT 02 / ETA 01</t>
  </si>
  <si>
    <t>RES 01 / Booster</t>
  </si>
  <si>
    <t>ADM 03 Almoxarifado SUFRO</t>
  </si>
  <si>
    <t>ADM 09 Não Identificado</t>
  </si>
  <si>
    <t>ADM 04 Laboratório Central de Caçapava do Sul</t>
  </si>
  <si>
    <t>EEE 04</t>
  </si>
  <si>
    <t>EEE 03 Loteamento Cerejeiras</t>
  </si>
  <si>
    <t>EAT 01 / PCT 01</t>
  </si>
  <si>
    <t>PCO SFR 17</t>
  </si>
  <si>
    <t>EEE 04 EBE Loteamento Sol Nascente</t>
  </si>
  <si>
    <t>EEE 06</t>
  </si>
  <si>
    <t>EAB 01</t>
  </si>
  <si>
    <t>EAB 02</t>
  </si>
  <si>
    <t>EAB 03</t>
  </si>
  <si>
    <t>EAB 02 Pré-recalque</t>
  </si>
  <si>
    <t>EAB 01 Barragem</t>
  </si>
  <si>
    <t>405-7</t>
  </si>
  <si>
    <t>EAB 01 Corredor da Mina</t>
  </si>
  <si>
    <t>ADM 01 / PCO MVI 02</t>
  </si>
  <si>
    <t>ADM 05 / EAT 02 / ETA 01 / PCT 29</t>
  </si>
  <si>
    <t>Tipo</t>
  </si>
  <si>
    <t>Data</t>
  </si>
  <si>
    <t>Meta</t>
  </si>
  <si>
    <t>Kms Geofonados</t>
  </si>
  <si>
    <t>AG010 - VC - Volume Consumido (m³)</t>
  </si>
  <si>
    <t>Barra do quaraí</t>
  </si>
  <si>
    <t>SURPRA</t>
  </si>
  <si>
    <t>Lavras do Sul</t>
  </si>
  <si>
    <t>Santada da boa vista</t>
  </si>
  <si>
    <t>São Vincente do sul</t>
  </si>
  <si>
    <t>Surfro</t>
  </si>
  <si>
    <t>Município</t>
  </si>
  <si>
    <t>Rótulos de Linha</t>
  </si>
  <si>
    <t>Soma de Vol. Disponibilizado - VD (m³)</t>
  </si>
  <si>
    <t>Soma de Vol. Consumido - VF (m³)</t>
  </si>
  <si>
    <t>Soma de NRW (m³)</t>
  </si>
  <si>
    <t>Soma de SOMA NRW (%)</t>
  </si>
  <si>
    <t>2023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</si>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</sst>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F800]dddd\,\ 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0"/>
      <name val="Arial"/>
      <family val="2"/>
    </font>
    <font>
      <sz val="11"/>
      <color theme="1"/>
      <name val="Aptos Narrow"/>
      <family val="2"/>
    </font>
    <font>
      <u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8">
    <xf numFmtId="0" fontId="0" fillId="0" borderId="0" xfId="0"/>
    <xf numFmtId="10" fontId="0" fillId="0" borderId="0" xfId="1" applyNumberFormat="1" applyFont="1"/>
    <xf numFmtId="3" fontId="0" fillId="0" borderId="0" xfId="0" applyNumberFormat="1"/>
    <xf numFmtId="17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7" fontId="0" fillId="0" borderId="0" xfId="0" applyNumberFormat="1" applyAlignment="1">
      <alignment horizontal="left" indent="1"/>
    </xf>
    <xf numFmtId="10" fontId="0" fillId="0" borderId="0" xfId="0" applyNumberFormat="1"/>
    <xf numFmtId="14" fontId="0" fillId="0" borderId="0" xfId="0" applyNumberFormat="1"/>
    <xf numFmtId="0" fontId="2" fillId="0" borderId="2" xfId="0" applyFont="1" applyBorder="1"/>
    <xf numFmtId="17" fontId="0" fillId="0" borderId="1" xfId="0" applyNumberFormat="1" applyBorder="1" applyAlignment="1">
      <alignment horizontal="center" vertical="center"/>
    </xf>
    <xf numFmtId="17" fontId="0" fillId="0" borderId="3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left"/>
    </xf>
    <xf numFmtId="14" fontId="0" fillId="0" borderId="3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64" fontId="0" fillId="0" borderId="0" xfId="0" applyNumberFormat="1"/>
    <xf numFmtId="0" fontId="0" fillId="0" borderId="4" xfId="0" applyBorder="1"/>
    <xf numFmtId="164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4" xfId="0" applyFill="1" applyBorder="1"/>
    <xf numFmtId="0" fontId="0" fillId="3" borderId="5" xfId="0" applyFill="1" applyBorder="1"/>
    <xf numFmtId="0" fontId="0" fillId="0" borderId="5" xfId="0" applyBorder="1"/>
    <xf numFmtId="0" fontId="4" fillId="2" borderId="9" xfId="0" applyFont="1" applyFill="1" applyBorder="1"/>
    <xf numFmtId="0" fontId="0" fillId="0" borderId="10" xfId="0" applyBorder="1"/>
    <xf numFmtId="0" fontId="5" fillId="3" borderId="5" xfId="0" applyFont="1" applyFill="1" applyBorder="1"/>
    <xf numFmtId="0" fontId="5" fillId="0" borderId="5" xfId="0" applyFont="1" applyBorder="1"/>
    <xf numFmtId="0" fontId="5" fillId="0" borderId="10" xfId="0" applyFont="1" applyBorder="1"/>
    <xf numFmtId="0" fontId="4" fillId="2" borderId="9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left" vertical="top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11" xfId="0" applyBorder="1"/>
    <xf numFmtId="0" fontId="0" fillId="3" borderId="11" xfId="0" applyFill="1" applyBorder="1"/>
    <xf numFmtId="3" fontId="6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left" vertical="center"/>
    </xf>
    <xf numFmtId="0" fontId="9" fillId="3" borderId="5" xfId="0" applyFont="1" applyFill="1" applyBorder="1"/>
    <xf numFmtId="0" fontId="9" fillId="3" borderId="10" xfId="0" applyFont="1" applyFill="1" applyBorder="1"/>
    <xf numFmtId="0" fontId="9" fillId="0" borderId="5" xfId="0" applyFont="1" applyBorder="1"/>
    <xf numFmtId="0" fontId="10" fillId="0" borderId="0" xfId="0" applyFont="1"/>
    <xf numFmtId="0" fontId="11" fillId="0" borderId="0" xfId="0" applyFont="1" applyAlignment="1">
      <alignment horizontal="left" vertical="center"/>
    </xf>
    <xf numFmtId="0" fontId="11" fillId="0" borderId="0" xfId="0" applyFont="1"/>
    <xf numFmtId="43" fontId="6" fillId="0" borderId="0" xfId="2" applyFont="1" applyFill="1" applyBorder="1" applyAlignment="1">
      <alignment horizontal="right" vertical="center"/>
    </xf>
    <xf numFmtId="43" fontId="6" fillId="0" borderId="0" xfId="2" applyFont="1" applyAlignment="1">
      <alignment horizontal="right" vertical="center"/>
    </xf>
    <xf numFmtId="1" fontId="12" fillId="0" borderId="12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orcentagem" xfId="1" builtinId="5"/>
    <cellStyle name="Vírgula" xfId="2" builtinId="3"/>
  </cellStyles>
  <dxfs count="144"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border outline="0">
        <right style="thin">
          <color theme="9" tint="0.39997558519241921"/>
        </right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64" formatCode="[$-F800]dddd\,\ mmmm\ dd\,\ yyyy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z val="10"/>
        <color auto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numFmt numFmtId="0" formatCode="General"/>
      <alignment horizontal="right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numFmt numFmtId="30" formatCode="@"/>
    </dxf>
    <dxf>
      <numFmt numFmtId="30" formatCode="@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19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22" formatCode="mmm/yy"/>
      <alignment horizontal="center" vertical="center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07/relationships/slicerCache" Target="slicerCaches/slicerCache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microsoft.com/office/2007/relationships/slicerCache" Target="slicerCaches/slicerCache1.xml"/><Relationship Id="rId40" Type="http://schemas.openxmlformats.org/officeDocument/2006/relationships/theme" Target="theme/theme1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48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07/relationships/slicerCache" Target="slicerCaches/slicerCache2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342899</xdr:colOff>
      <xdr:row>1</xdr:row>
      <xdr:rowOff>9525</xdr:rowOff>
    </xdr:from>
    <xdr:to>
      <xdr:col>5</xdr:col>
      <xdr:colOff>2200274</xdr:colOff>
      <xdr:row>5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GIONAL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39199" y="200025"/>
              <a:ext cx="1857375" cy="904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1333500</xdr:colOff>
      <xdr:row>0</xdr:row>
      <xdr:rowOff>142875</xdr:rowOff>
    </xdr:from>
    <xdr:to>
      <xdr:col>7</xdr:col>
      <xdr:colOff>1038225</xdr:colOff>
      <xdr:row>14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IDADE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DA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30100" y="1428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1190625</xdr:colOff>
      <xdr:row>8</xdr:row>
      <xdr:rowOff>152400</xdr:rowOff>
    </xdr:from>
    <xdr:to>
      <xdr:col>6</xdr:col>
      <xdr:colOff>1019175</xdr:colOff>
      <xdr:row>17</xdr:row>
      <xdr:rowOff>3174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nos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86925" y="1676400"/>
              <a:ext cx="2228850" cy="15620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re Santos Langwinski" refreshedDate="45525.639320949071" createdVersion="6" refreshedVersion="8" minRefreshableVersion="3" recordCount="414" xr:uid="{00000000-000A-0000-FFFF-FFFF0B000000}">
  <cacheSource type="worksheet">
    <worksheetSource name="Tabela1"/>
  </cacheSource>
  <cacheFields count="10">
    <cacheField name="REGIONAL" numFmtId="0">
      <sharedItems count="2">
        <s v="SURPA"/>
        <s v="SURFRO"/>
      </sharedItems>
    </cacheField>
    <cacheField name="mês" numFmtId="17">
      <sharedItems containsSemiMixedTypes="0" containsNonDate="0" containsDate="1" containsString="0" minDate="2023-01-01T00:00:00" maxDate="2024-06-02T00:00:00" count="18">
        <d v="2024-06-01T00:00:00"/>
        <d v="2024-05-01T00:00:00"/>
        <d v="2024-04-01T00:00:00"/>
        <d v="2024-03-01T00:00:00"/>
        <d v="2024-02-01T00:00:00"/>
        <d v="2024-01-01T00:00:00"/>
        <d v="2023-12-01T00:00:00"/>
        <d v="2023-11-01T00:00:00"/>
        <d v="2023-10-01T00:00:00"/>
        <d v="2023-09-01T00:00:00"/>
        <d v="2023-08-01T00:00:00"/>
        <d v="2023-07-01T00:00:00"/>
        <d v="2023-06-01T00:00:00"/>
        <d v="2023-05-01T00:00:00"/>
        <d v="2023-04-01T00:00:00"/>
        <d v="2023-03-01T00:00:00"/>
        <d v="2023-02-01T00:00:00"/>
        <d v="2023-01-01T00:00:00"/>
      </sharedItems>
      <fieldGroup par="8" base="1">
        <rangePr groupBy="months" startDate="2023-01-01T00:00:00" endDate="2024-06-02T00:00:00"/>
        <groupItems count="14">
          <s v="&lt;01/01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06/2024"/>
        </groupItems>
      </fieldGroup>
    </cacheField>
    <cacheField name="CIDADE" numFmtId="0">
      <sharedItems count="23">
        <s v="ACEGUÁ"/>
        <s v="ALEGRETE"/>
        <s v="BARRA DO QUARAÍ"/>
        <s v="BOSSOROCA"/>
        <s v="CAÇAPAVA DO SUL"/>
        <s v="CACEQUI"/>
        <s v="DOM PEDRITO"/>
        <s v="ENCRUZILHADA"/>
        <s v="ITAQUI"/>
        <s v="JAGUARI"/>
        <s v="LAVRAS DO SUL"/>
        <s v="MAÇAMBARÁ"/>
        <s v="MANOEL VIANA"/>
        <s v="NOVA ESPERANÇA DO SUL"/>
        <s v="QUARAÍ"/>
        <s v="ROSÁRIO DO SUL"/>
        <s v="SANTA MARGARIDA DO SUL"/>
        <s v="SANTANA DA BOA VISTA"/>
        <s v="SANTIAGO"/>
        <s v="SÃO BORJA"/>
        <s v="SÃO FRANCISCO DE ASSIS"/>
        <s v="SÃO VICENTE DO SUL"/>
        <s v="UNISTALDA"/>
      </sharedItems>
    </cacheField>
    <cacheField name="Vol. Disponibilizado - VD (m³)" numFmtId="3">
      <sharedItems containsSemiMixedTypes="0" containsString="0" containsNumber="1" containsInteger="1" minValue="3383" maxValue="874347"/>
    </cacheField>
    <cacheField name="Vol. Consumido - VF (m³)" numFmtId="3">
      <sharedItems containsSemiMixedTypes="0" containsString="0" containsNumber="1" containsInteger="1" minValue="2232" maxValue="312966"/>
    </cacheField>
    <cacheField name="NRW (m³)" numFmtId="3">
      <sharedItems containsSemiMixedTypes="0" containsString="0" containsNumber="1" containsInteger="1" minValue="-868" maxValue="634510"/>
    </cacheField>
    <cacheField name="NRW (%)" numFmtId="10">
      <sharedItems containsSemiMixedTypes="0" containsString="0" containsNumber="1" minValue="-9.1939413197754505E-2" maxValue="0.73091051930114803"/>
    </cacheField>
    <cacheField name="Trimestres" numFmtId="0" databaseField="0">
      <fieldGroup base="1">
        <rangePr groupBy="quarters" startDate="2023-01-01T00:00:00" endDate="2024-06-02T00:00:00"/>
        <groupItems count="6">
          <s v="&lt;01/01/2023"/>
          <s v="Trim1"/>
          <s v="Trim2"/>
          <s v="Trim3"/>
          <s v="Trim4"/>
          <s v="&gt;02/06/2024"/>
        </groupItems>
      </fieldGroup>
    </cacheField>
    <cacheField name="Anos" numFmtId="0" databaseField="0">
      <fieldGroup base="1">
        <rangePr groupBy="years" startDate="2023-01-01T00:00:00" endDate="2024-06-02T00:00:00"/>
        <groupItems count="4">
          <s v="&lt;01/01/2023"/>
          <s v="2023"/>
          <s v="2024"/>
          <s v="&gt;02/06/2024"/>
        </groupItems>
      </fieldGroup>
    </cacheField>
    <cacheField name="SOMA NRW (%)" numFmtId="0" formula="'NRW (m³)'/'Vol. Disponibilizado - VD (m³)'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4">
  <r>
    <x v="0"/>
    <x v="0"/>
    <x v="0"/>
    <n v="8952"/>
    <n v="7978"/>
    <n v="974"/>
    <n v="0.108802502234138"/>
  </r>
  <r>
    <x v="1"/>
    <x v="0"/>
    <x v="1"/>
    <n v="766641"/>
    <n v="267624"/>
    <n v="499017"/>
    <n v="0.65091353058341495"/>
  </r>
  <r>
    <x v="1"/>
    <x v="0"/>
    <x v="2"/>
    <n v="17968"/>
    <n v="10999"/>
    <n v="6969"/>
    <n v="0.38785618878005301"/>
  </r>
  <r>
    <x v="0"/>
    <x v="0"/>
    <x v="3"/>
    <n v="23870"/>
    <n v="14396"/>
    <n v="9474"/>
    <n v="0.39689987431922902"/>
  </r>
  <r>
    <x v="0"/>
    <x v="0"/>
    <x v="4"/>
    <n v="159566"/>
    <n v="93321"/>
    <n v="66245"/>
    <n v="0.41515736435080203"/>
  </r>
  <r>
    <x v="0"/>
    <x v="0"/>
    <x v="5"/>
    <n v="49113"/>
    <n v="27934"/>
    <n v="21179"/>
    <n v="0.43123002056482002"/>
  </r>
  <r>
    <x v="0"/>
    <x v="0"/>
    <x v="6"/>
    <n v="270021"/>
    <n v="130140"/>
    <n v="139881"/>
    <n v="0.51803748597331301"/>
  </r>
  <r>
    <x v="0"/>
    <x v="0"/>
    <x v="7"/>
    <n v="105963"/>
    <n v="59456"/>
    <n v="46507"/>
    <n v="0.438898483432896"/>
  </r>
  <r>
    <x v="1"/>
    <x v="0"/>
    <x v="8"/>
    <n v="355098"/>
    <n v="115995"/>
    <n v="239103"/>
    <n v="0.67334369666965199"/>
  </r>
  <r>
    <x v="0"/>
    <x v="0"/>
    <x v="9"/>
    <n v="28428"/>
    <n v="24894"/>
    <n v="3534"/>
    <n v="0.124314056563951"/>
  </r>
  <r>
    <x v="0"/>
    <x v="0"/>
    <x v="10"/>
    <n v="33104"/>
    <n v="21407"/>
    <n v="11697"/>
    <n v="0.353340985983567"/>
  </r>
  <r>
    <x v="1"/>
    <x v="0"/>
    <x v="11"/>
    <n v="15126"/>
    <n v="6317"/>
    <n v="8809"/>
    <n v="0.58237471902684101"/>
  </r>
  <r>
    <x v="1"/>
    <x v="0"/>
    <x v="12"/>
    <n v="34831"/>
    <n v="18833"/>
    <n v="15998"/>
    <n v="0.45930349401395298"/>
  </r>
  <r>
    <x v="0"/>
    <x v="0"/>
    <x v="13"/>
    <n v="27171"/>
    <n v="13871"/>
    <n v="13300"/>
    <n v="0.489492473593169"/>
  </r>
  <r>
    <x v="1"/>
    <x v="0"/>
    <x v="14"/>
    <n v="235612"/>
    <n v="83545"/>
    <n v="152067"/>
    <n v="0.64541279731083301"/>
  </r>
  <r>
    <x v="0"/>
    <x v="0"/>
    <x v="15"/>
    <n v="182814"/>
    <n v="104829"/>
    <n v="77985"/>
    <n v="0.42658111523187497"/>
  </r>
  <r>
    <x v="0"/>
    <x v="0"/>
    <x v="16"/>
    <n v="3401"/>
    <n v="2651"/>
    <n v="750"/>
    <n v="0.22052337547780099"/>
  </r>
  <r>
    <x v="0"/>
    <x v="0"/>
    <x v="17"/>
    <n v="27348"/>
    <n v="14402"/>
    <n v="12946"/>
    <n v="0.47338013748720198"/>
  </r>
  <r>
    <x v="0"/>
    <x v="0"/>
    <x v="18"/>
    <n v="383170"/>
    <n v="182550"/>
    <n v="200620"/>
    <n v="0.52357961218258198"/>
  </r>
  <r>
    <x v="1"/>
    <x v="0"/>
    <x v="19"/>
    <n v="364729"/>
    <n v="194558"/>
    <n v="170171"/>
    <n v="0.46656832881399601"/>
  </r>
  <r>
    <x v="0"/>
    <x v="0"/>
    <x v="20"/>
    <n v="70818"/>
    <n v="47460"/>
    <n v="23358"/>
    <n v="0.32983139879691598"/>
  </r>
  <r>
    <x v="0"/>
    <x v="0"/>
    <x v="21"/>
    <n v="32147"/>
    <n v="24703"/>
    <n v="7444"/>
    <n v="0.23156126543689901"/>
  </r>
  <r>
    <x v="0"/>
    <x v="0"/>
    <x v="22"/>
    <n v="8342"/>
    <n v="3726"/>
    <n v="4616"/>
    <n v="0.55334452169743498"/>
  </r>
  <r>
    <x v="0"/>
    <x v="1"/>
    <x v="0"/>
    <n v="8811"/>
    <n v="8105"/>
    <n v="706"/>
    <n v="8.0127113834979002E-2"/>
  </r>
  <r>
    <x v="1"/>
    <x v="1"/>
    <x v="1"/>
    <n v="777985"/>
    <n v="277650"/>
    <n v="500335"/>
    <n v="0.64311651252916202"/>
  </r>
  <r>
    <x v="1"/>
    <x v="1"/>
    <x v="2"/>
    <n v="18738"/>
    <n v="13422"/>
    <n v="5316"/>
    <n v="0.28370156900416299"/>
  </r>
  <r>
    <x v="0"/>
    <x v="1"/>
    <x v="3"/>
    <n v="23390"/>
    <n v="15647"/>
    <n v="7743"/>
    <n v="0.33103890551517701"/>
  </r>
  <r>
    <x v="0"/>
    <x v="1"/>
    <x v="4"/>
    <n v="165123"/>
    <n v="104692"/>
    <n v="60431"/>
    <n v="0.365975666624274"/>
  </r>
  <r>
    <x v="0"/>
    <x v="1"/>
    <x v="5"/>
    <n v="43243"/>
    <n v="36981"/>
    <n v="6262"/>
    <n v="0.14480956455380101"/>
  </r>
  <r>
    <x v="0"/>
    <x v="1"/>
    <x v="6"/>
    <n v="269672"/>
    <n v="147731"/>
    <n v="121941"/>
    <n v="0.452182651517399"/>
  </r>
  <r>
    <x v="0"/>
    <x v="1"/>
    <x v="7"/>
    <n v="94872"/>
    <n v="72105"/>
    <n v="22767"/>
    <n v="0.239975967619529"/>
  </r>
  <r>
    <x v="1"/>
    <x v="1"/>
    <x v="8"/>
    <n v="359014"/>
    <n v="133315"/>
    <n v="225699"/>
    <n v="0.62866350615853395"/>
  </r>
  <r>
    <x v="0"/>
    <x v="1"/>
    <x v="9"/>
    <n v="34190"/>
    <n v="28448"/>
    <n v="5742"/>
    <n v="0.16794384322901401"/>
  </r>
  <r>
    <x v="0"/>
    <x v="1"/>
    <x v="10"/>
    <n v="34941"/>
    <n v="26825"/>
    <n v="8116"/>
    <n v="0.23227726739360599"/>
  </r>
  <r>
    <x v="1"/>
    <x v="1"/>
    <x v="11"/>
    <n v="14923"/>
    <n v="5564"/>
    <n v="9359"/>
    <n v="0.62715271728204802"/>
  </r>
  <r>
    <x v="1"/>
    <x v="1"/>
    <x v="12"/>
    <n v="37948"/>
    <n v="21522"/>
    <n v="16426"/>
    <n v="0.43285548645514899"/>
  </r>
  <r>
    <x v="0"/>
    <x v="1"/>
    <x v="13"/>
    <n v="27079"/>
    <n v="16121"/>
    <n v="10958"/>
    <n v="0.40466782377488097"/>
  </r>
  <r>
    <x v="1"/>
    <x v="1"/>
    <x v="14"/>
    <n v="237885"/>
    <n v="93179"/>
    <n v="144706"/>
    <n v="0.60830233095823605"/>
  </r>
  <r>
    <x v="0"/>
    <x v="1"/>
    <x v="15"/>
    <n v="176827"/>
    <n v="124950"/>
    <n v="51877"/>
    <n v="0.29337714263093301"/>
  </r>
  <r>
    <x v="0"/>
    <x v="1"/>
    <x v="16"/>
    <n v="3383"/>
    <n v="2931"/>
    <n v="452"/>
    <n v="0.13360922258350599"/>
  </r>
  <r>
    <x v="0"/>
    <x v="1"/>
    <x v="17"/>
    <n v="26270"/>
    <n v="14669"/>
    <n v="11601"/>
    <n v="0.44160639512752198"/>
  </r>
  <r>
    <x v="0"/>
    <x v="1"/>
    <x v="18"/>
    <n v="395617"/>
    <n v="197836"/>
    <n v="197781"/>
    <n v="0.49993048832582998"/>
  </r>
  <r>
    <x v="1"/>
    <x v="1"/>
    <x v="19"/>
    <n v="378832"/>
    <n v="218753"/>
    <n v="160079"/>
    <n v="0.42255934028804298"/>
  </r>
  <r>
    <x v="0"/>
    <x v="1"/>
    <x v="20"/>
    <n v="66489"/>
    <n v="53578"/>
    <n v="12911"/>
    <n v="0.19418249635278001"/>
  </r>
  <r>
    <x v="0"/>
    <x v="1"/>
    <x v="21"/>
    <n v="30686"/>
    <n v="28003"/>
    <n v="2683"/>
    <n v="8.7434008994329696E-2"/>
  </r>
  <r>
    <x v="0"/>
    <x v="1"/>
    <x v="22"/>
    <n v="8339"/>
    <n v="3428"/>
    <n v="4911"/>
    <n v="0.58891953471639302"/>
  </r>
  <r>
    <x v="0"/>
    <x v="2"/>
    <x v="0"/>
    <n v="8633"/>
    <n v="7850"/>
    <n v="783"/>
    <n v="9.0698482566894501E-2"/>
  </r>
  <r>
    <x v="1"/>
    <x v="2"/>
    <x v="1"/>
    <n v="750075"/>
    <n v="258576"/>
    <n v="491499"/>
    <n v="0.65526647335266497"/>
  </r>
  <r>
    <x v="1"/>
    <x v="2"/>
    <x v="2"/>
    <n v="18598"/>
    <n v="12767"/>
    <n v="5831"/>
    <n v="0.31352833638025601"/>
  </r>
  <r>
    <x v="0"/>
    <x v="2"/>
    <x v="3"/>
    <n v="23450"/>
    <n v="15179"/>
    <n v="8271"/>
    <n v="0.35270788912579998"/>
  </r>
  <r>
    <x v="0"/>
    <x v="2"/>
    <x v="4"/>
    <n v="159011"/>
    <n v="102185"/>
    <n v="56826"/>
    <n v="0.35737150260044898"/>
  </r>
  <r>
    <x v="0"/>
    <x v="2"/>
    <x v="5"/>
    <n v="58224"/>
    <n v="36291"/>
    <n v="21933"/>
    <n v="0.37670032976092299"/>
  </r>
  <r>
    <x v="0"/>
    <x v="2"/>
    <x v="6"/>
    <n v="250489"/>
    <n v="138315"/>
    <n v="112174"/>
    <n v="0.44782006395490398"/>
  </r>
  <r>
    <x v="0"/>
    <x v="2"/>
    <x v="7"/>
    <n v="92409"/>
    <n v="66899"/>
    <n v="25510"/>
    <n v="0.27605536257291002"/>
  </r>
  <r>
    <x v="1"/>
    <x v="2"/>
    <x v="8"/>
    <n v="343149"/>
    <n v="124336"/>
    <n v="218813"/>
    <n v="0.63766177374843003"/>
  </r>
  <r>
    <x v="0"/>
    <x v="2"/>
    <x v="9"/>
    <n v="34535"/>
    <n v="25531"/>
    <n v="9004"/>
    <n v="0.26072100767337503"/>
  </r>
  <r>
    <x v="0"/>
    <x v="2"/>
    <x v="10"/>
    <n v="31329"/>
    <n v="23810"/>
    <n v="7519"/>
    <n v="0.24000127677232"/>
  </r>
  <r>
    <x v="1"/>
    <x v="2"/>
    <x v="11"/>
    <n v="16159"/>
    <n v="6036"/>
    <n v="10123"/>
    <n v="0.62646203354167995"/>
  </r>
  <r>
    <x v="1"/>
    <x v="2"/>
    <x v="12"/>
    <n v="37918"/>
    <n v="19357"/>
    <n v="18561"/>
    <n v="0.48950366580515797"/>
  </r>
  <r>
    <x v="0"/>
    <x v="2"/>
    <x v="13"/>
    <n v="25475"/>
    <n v="15191"/>
    <n v="10284"/>
    <n v="0.40368989205103001"/>
  </r>
  <r>
    <x v="1"/>
    <x v="2"/>
    <x v="14"/>
    <n v="228841"/>
    <n v="86883"/>
    <n v="141958"/>
    <n v="0.62033464283061202"/>
  </r>
  <r>
    <x v="0"/>
    <x v="2"/>
    <x v="15"/>
    <n v="170086"/>
    <n v="106239"/>
    <n v="63847"/>
    <n v="0.37538068976870498"/>
  </r>
  <r>
    <x v="0"/>
    <x v="2"/>
    <x v="16"/>
    <n v="3461"/>
    <n v="3253"/>
    <n v="208"/>
    <n v="6.00982375036117E-2"/>
  </r>
  <r>
    <x v="0"/>
    <x v="2"/>
    <x v="17"/>
    <n v="23291"/>
    <n v="13559"/>
    <n v="9732"/>
    <n v="0.41784380232707902"/>
  </r>
  <r>
    <x v="0"/>
    <x v="2"/>
    <x v="18"/>
    <n v="379963"/>
    <n v="185531"/>
    <n v="194432"/>
    <n v="0.51171298257988296"/>
  </r>
  <r>
    <x v="1"/>
    <x v="2"/>
    <x v="19"/>
    <n v="380966"/>
    <n v="196089"/>
    <n v="184877"/>
    <n v="0.48528477606925602"/>
  </r>
  <r>
    <x v="0"/>
    <x v="2"/>
    <x v="20"/>
    <n v="69110"/>
    <n v="49023"/>
    <n v="20087"/>
    <n v="0.29065258283895201"/>
  </r>
  <r>
    <x v="0"/>
    <x v="2"/>
    <x v="21"/>
    <n v="31062"/>
    <n v="24787"/>
    <n v="6275"/>
    <n v="0.202015324190329"/>
  </r>
  <r>
    <x v="0"/>
    <x v="2"/>
    <x v="22"/>
    <n v="7852"/>
    <n v="3750"/>
    <n v="4102"/>
    <n v="0.52241467142129405"/>
  </r>
  <r>
    <x v="0"/>
    <x v="3"/>
    <x v="0"/>
    <n v="9520"/>
    <n v="8041"/>
    <n v="1479"/>
    <n v="0.155357142857143"/>
  </r>
  <r>
    <x v="1"/>
    <x v="3"/>
    <x v="1"/>
    <n v="821754"/>
    <n v="293629"/>
    <n v="528125"/>
    <n v="0.64268016949111295"/>
  </r>
  <r>
    <x v="1"/>
    <x v="3"/>
    <x v="2"/>
    <n v="19922"/>
    <n v="13017"/>
    <n v="6905"/>
    <n v="0.346601746812569"/>
  </r>
  <r>
    <x v="0"/>
    <x v="3"/>
    <x v="3"/>
    <n v="22775"/>
    <n v="16633"/>
    <n v="6142"/>
    <n v="0.26968166849615799"/>
  </r>
  <r>
    <x v="0"/>
    <x v="3"/>
    <x v="4"/>
    <n v="167684"/>
    <n v="105248"/>
    <n v="62436"/>
    <n v="0.372343217003411"/>
  </r>
  <r>
    <x v="0"/>
    <x v="3"/>
    <x v="5"/>
    <n v="66854"/>
    <n v="38686"/>
    <n v="28168"/>
    <n v="0.42133604571155098"/>
  </r>
  <r>
    <x v="0"/>
    <x v="3"/>
    <x v="6"/>
    <n v="269814"/>
    <n v="151870"/>
    <n v="117944"/>
    <n v="0.43713076415604801"/>
  </r>
  <r>
    <x v="0"/>
    <x v="3"/>
    <x v="7"/>
    <n v="98925"/>
    <n v="71358"/>
    <n v="27567"/>
    <n v="0.27866565579984798"/>
  </r>
  <r>
    <x v="1"/>
    <x v="3"/>
    <x v="8"/>
    <n v="353321"/>
    <n v="137612"/>
    <n v="215709"/>
    <n v="0.61051848036205003"/>
  </r>
  <r>
    <x v="0"/>
    <x v="3"/>
    <x v="9"/>
    <n v="34172"/>
    <n v="26990"/>
    <n v="7182"/>
    <n v="0.21017207070115901"/>
  </r>
  <r>
    <x v="0"/>
    <x v="3"/>
    <x v="10"/>
    <n v="34799"/>
    <n v="25436"/>
    <n v="9363"/>
    <n v="0.26905945573148699"/>
  </r>
  <r>
    <x v="1"/>
    <x v="3"/>
    <x v="11"/>
    <n v="17323"/>
    <n v="7808"/>
    <n v="9515"/>
    <n v="0.54926975697050195"/>
  </r>
  <r>
    <x v="1"/>
    <x v="3"/>
    <x v="12"/>
    <n v="37918"/>
    <n v="21728"/>
    <n v="16190"/>
    <n v="0.42697399651880402"/>
  </r>
  <r>
    <x v="0"/>
    <x v="3"/>
    <x v="13"/>
    <n v="25779"/>
    <n v="16976"/>
    <n v="8803"/>
    <n v="0.34147949881686601"/>
  </r>
  <r>
    <x v="1"/>
    <x v="3"/>
    <x v="14"/>
    <n v="237306"/>
    <n v="92925"/>
    <n v="144381"/>
    <n v="0.60841698060731697"/>
  </r>
  <r>
    <x v="0"/>
    <x v="3"/>
    <x v="15"/>
    <n v="179526"/>
    <n v="120609"/>
    <n v="58917"/>
    <n v="0.32818087630761"/>
  </r>
  <r>
    <x v="0"/>
    <x v="3"/>
    <x v="16"/>
    <n v="5693"/>
    <n v="3058"/>
    <n v="2635"/>
    <n v="0.46284911294572301"/>
  </r>
  <r>
    <x v="0"/>
    <x v="3"/>
    <x v="17"/>
    <n v="24892"/>
    <n v="14404"/>
    <n v="10488"/>
    <n v="0.42134018961915498"/>
  </r>
  <r>
    <x v="0"/>
    <x v="3"/>
    <x v="18"/>
    <n v="397701"/>
    <n v="191041"/>
    <n v="206660"/>
    <n v="0.51963661142415996"/>
  </r>
  <r>
    <x v="1"/>
    <x v="3"/>
    <x v="19"/>
    <n v="388890"/>
    <n v="227935"/>
    <n v="160955"/>
    <n v="0.41388310319113403"/>
  </r>
  <r>
    <x v="0"/>
    <x v="3"/>
    <x v="20"/>
    <n v="77351"/>
    <n v="52955"/>
    <n v="24396"/>
    <n v="0.31539346614781999"/>
  </r>
  <r>
    <x v="0"/>
    <x v="3"/>
    <x v="21"/>
    <n v="33566"/>
    <n v="26124"/>
    <n v="7442"/>
    <n v="0.22171244711910901"/>
  </r>
  <r>
    <x v="0"/>
    <x v="3"/>
    <x v="22"/>
    <n v="8405"/>
    <n v="4315"/>
    <n v="4090"/>
    <n v="0.48661511005354002"/>
  </r>
  <r>
    <x v="0"/>
    <x v="4"/>
    <x v="0"/>
    <n v="9441"/>
    <n v="10309"/>
    <n v="-868"/>
    <n v="-9.1939413197754505E-2"/>
  </r>
  <r>
    <x v="1"/>
    <x v="4"/>
    <x v="1"/>
    <n v="798998"/>
    <n v="298062"/>
    <n v="500936"/>
    <n v="0.62695526146498504"/>
  </r>
  <r>
    <x v="1"/>
    <x v="4"/>
    <x v="2"/>
    <n v="19802"/>
    <n v="16823"/>
    <n v="2979"/>
    <n v="0.15043934956065"/>
  </r>
  <r>
    <x v="0"/>
    <x v="4"/>
    <x v="3"/>
    <n v="20821"/>
    <n v="15072"/>
    <n v="5749"/>
    <n v="0.27611546035252899"/>
  </r>
  <r>
    <x v="0"/>
    <x v="4"/>
    <x v="4"/>
    <n v="156293"/>
    <n v="114616"/>
    <n v="41677"/>
    <n v="0.26665941532890097"/>
  </r>
  <r>
    <x v="0"/>
    <x v="4"/>
    <x v="5"/>
    <n v="69397"/>
    <n v="41549"/>
    <n v="27848"/>
    <n v="0.40128535815669297"/>
  </r>
  <r>
    <x v="0"/>
    <x v="4"/>
    <x v="6"/>
    <n v="260283"/>
    <n v="168157"/>
    <n v="92126"/>
    <n v="0.353945513152991"/>
  </r>
  <r>
    <x v="0"/>
    <x v="4"/>
    <x v="7"/>
    <n v="97730"/>
    <n v="76489"/>
    <n v="21241"/>
    <n v="0.217343702036222"/>
  </r>
  <r>
    <x v="1"/>
    <x v="4"/>
    <x v="8"/>
    <n v="341427"/>
    <n v="149282"/>
    <n v="192145"/>
    <n v="0.56277037258330498"/>
  </r>
  <r>
    <x v="0"/>
    <x v="4"/>
    <x v="9"/>
    <n v="35202"/>
    <n v="32050"/>
    <n v="3152"/>
    <n v="8.95403670246009E-2"/>
  </r>
  <r>
    <x v="0"/>
    <x v="4"/>
    <x v="10"/>
    <n v="36174"/>
    <n v="28094"/>
    <n v="8080"/>
    <n v="0.22336484768065501"/>
  </r>
  <r>
    <x v="1"/>
    <x v="4"/>
    <x v="11"/>
    <n v="16349"/>
    <n v="6062"/>
    <n v="10287"/>
    <n v="0.62921279588965695"/>
  </r>
  <r>
    <x v="1"/>
    <x v="4"/>
    <x v="12"/>
    <n v="36376"/>
    <n v="24251"/>
    <n v="12125"/>
    <n v="0.33332416978227403"/>
  </r>
  <r>
    <x v="0"/>
    <x v="4"/>
    <x v="13"/>
    <n v="25976"/>
    <n v="15440"/>
    <n v="10536"/>
    <n v="0.40560517400677598"/>
  </r>
  <r>
    <x v="1"/>
    <x v="4"/>
    <x v="14"/>
    <n v="216261"/>
    <n v="105938"/>
    <n v="110323"/>
    <n v="0.51013821262271097"/>
  </r>
  <r>
    <x v="0"/>
    <x v="4"/>
    <x v="15"/>
    <n v="178031"/>
    <n v="135164"/>
    <n v="42867"/>
    <n v="0.240783908420444"/>
  </r>
  <r>
    <x v="0"/>
    <x v="4"/>
    <x v="16"/>
    <n v="5464"/>
    <n v="2941"/>
    <n v="2523"/>
    <n v="0.46174963396778901"/>
  </r>
  <r>
    <x v="0"/>
    <x v="4"/>
    <x v="17"/>
    <n v="23146"/>
    <n v="15085"/>
    <n v="8061"/>
    <n v="0.34826751922578397"/>
  </r>
  <r>
    <x v="0"/>
    <x v="4"/>
    <x v="18"/>
    <n v="401631"/>
    <n v="207099"/>
    <n v="194532"/>
    <n v="0.48435504231496102"/>
  </r>
  <r>
    <x v="1"/>
    <x v="4"/>
    <x v="19"/>
    <n v="376312"/>
    <n v="234727"/>
    <n v="141585"/>
    <n v="0.376243648887094"/>
  </r>
  <r>
    <x v="0"/>
    <x v="4"/>
    <x v="20"/>
    <n v="65515"/>
    <n v="58765"/>
    <n v="6750"/>
    <n v="0.103029840494543"/>
  </r>
  <r>
    <x v="0"/>
    <x v="4"/>
    <x v="21"/>
    <n v="34162"/>
    <n v="29841"/>
    <n v="4321"/>
    <n v="0.12648556876061101"/>
  </r>
  <r>
    <x v="0"/>
    <x v="4"/>
    <x v="22"/>
    <n v="10424"/>
    <n v="3755"/>
    <n v="6669"/>
    <n v="0.63977359938603195"/>
  </r>
  <r>
    <x v="0"/>
    <x v="5"/>
    <x v="0"/>
    <n v="8906"/>
    <n v="9246"/>
    <n v="-340"/>
    <n v="-3.8176510217830702E-2"/>
  </r>
  <r>
    <x v="1"/>
    <x v="5"/>
    <x v="1"/>
    <n v="852844"/>
    <n v="298070"/>
    <n v="554774"/>
    <n v="0.65049880165657503"/>
  </r>
  <r>
    <x v="1"/>
    <x v="5"/>
    <x v="2"/>
    <n v="21070"/>
    <n v="14496"/>
    <n v="6574"/>
    <n v="0.31200759373516801"/>
  </r>
  <r>
    <x v="0"/>
    <x v="5"/>
    <x v="3"/>
    <n v="21767"/>
    <n v="17867"/>
    <n v="3900"/>
    <n v="0.179170303670694"/>
  </r>
  <r>
    <x v="0"/>
    <x v="5"/>
    <x v="4"/>
    <n v="166715"/>
    <n v="114187"/>
    <n v="52528"/>
    <n v="0.31507662777794399"/>
  </r>
  <r>
    <x v="0"/>
    <x v="5"/>
    <x v="5"/>
    <n v="67059"/>
    <n v="44203"/>
    <n v="22856"/>
    <n v="0.340834190787217"/>
  </r>
  <r>
    <x v="0"/>
    <x v="5"/>
    <x v="6"/>
    <n v="273354"/>
    <n v="168264"/>
    <n v="105090"/>
    <n v="0.38444654184683602"/>
  </r>
  <r>
    <x v="0"/>
    <x v="5"/>
    <x v="7"/>
    <n v="98982"/>
    <n v="78353"/>
    <n v="20629"/>
    <n v="0.20841163039744601"/>
  </r>
  <r>
    <x v="1"/>
    <x v="5"/>
    <x v="8"/>
    <n v="354958"/>
    <n v="155040"/>
    <n v="199918"/>
    <n v="0.56321592977197299"/>
  </r>
  <r>
    <x v="0"/>
    <x v="5"/>
    <x v="9"/>
    <n v="37140"/>
    <n v="31830"/>
    <n v="5310"/>
    <n v="0.14297253634894999"/>
  </r>
  <r>
    <x v="0"/>
    <x v="5"/>
    <x v="10"/>
    <n v="34763"/>
    <n v="29008"/>
    <n v="5755"/>
    <n v="0.165549578574922"/>
  </r>
  <r>
    <x v="1"/>
    <x v="5"/>
    <x v="11"/>
    <n v="15556"/>
    <n v="6937"/>
    <n v="8619"/>
    <n v="0.55406274106454101"/>
  </r>
  <r>
    <x v="1"/>
    <x v="5"/>
    <x v="12"/>
    <n v="37786"/>
    <n v="22672"/>
    <n v="15114"/>
    <n v="0.39998941406870298"/>
  </r>
  <r>
    <x v="0"/>
    <x v="5"/>
    <x v="13"/>
    <n v="26581"/>
    <n v="17479"/>
    <n v="9102"/>
    <n v="0.342425040442421"/>
  </r>
  <r>
    <x v="1"/>
    <x v="5"/>
    <x v="14"/>
    <n v="226523"/>
    <n v="105052"/>
    <n v="121471"/>
    <n v="0.53624135297519504"/>
  </r>
  <r>
    <x v="0"/>
    <x v="5"/>
    <x v="15"/>
    <n v="179433"/>
    <n v="133285"/>
    <n v="46148"/>
    <n v="0.25718791972491101"/>
  </r>
  <r>
    <x v="0"/>
    <x v="5"/>
    <x v="16"/>
    <n v="5165"/>
    <n v="2941"/>
    <n v="2224"/>
    <n v="0.43059051306873197"/>
  </r>
  <r>
    <x v="0"/>
    <x v="5"/>
    <x v="17"/>
    <n v="22012"/>
    <n v="15990"/>
    <n v="6022"/>
    <n v="0.27357804833727101"/>
  </r>
  <r>
    <x v="0"/>
    <x v="5"/>
    <x v="18"/>
    <n v="435260"/>
    <n v="199785"/>
    <n v="235475"/>
    <n v="0.54099848366493597"/>
  </r>
  <r>
    <x v="1"/>
    <x v="5"/>
    <x v="19"/>
    <n v="379992"/>
    <n v="248538"/>
    <n v="131454"/>
    <n v="0.34593886187077599"/>
  </r>
  <r>
    <x v="0"/>
    <x v="5"/>
    <x v="20"/>
    <n v="70551"/>
    <n v="60761"/>
    <n v="9790"/>
    <n v="0.138764865133024"/>
  </r>
  <r>
    <x v="0"/>
    <x v="5"/>
    <x v="21"/>
    <n v="35155"/>
    <n v="28405"/>
    <n v="6750"/>
    <n v="0.19200682690940099"/>
  </r>
  <r>
    <x v="0"/>
    <x v="5"/>
    <x v="22"/>
    <n v="7859"/>
    <n v="4558"/>
    <n v="3301"/>
    <n v="0.42002799338338198"/>
  </r>
  <r>
    <x v="0"/>
    <x v="6"/>
    <x v="0"/>
    <n v="9004"/>
    <n v="7427"/>
    <n v="1577"/>
    <n v="0.175144380275433"/>
  </r>
  <r>
    <x v="1"/>
    <x v="6"/>
    <x v="1"/>
    <n v="874347"/>
    <n v="260286"/>
    <n v="614061"/>
    <n v="0.70230812251886299"/>
  </r>
  <r>
    <x v="1"/>
    <x v="6"/>
    <x v="2"/>
    <n v="21481"/>
    <n v="12518"/>
    <n v="8963"/>
    <n v="0.41725245565848901"/>
  </r>
  <r>
    <x v="0"/>
    <x v="6"/>
    <x v="3"/>
    <n v="22835"/>
    <n v="14453"/>
    <n v="8382"/>
    <n v="0.36706809721918099"/>
  </r>
  <r>
    <x v="0"/>
    <x v="6"/>
    <x v="4"/>
    <n v="172596"/>
    <n v="99636"/>
    <n v="72960"/>
    <n v="0.42272126816380401"/>
  </r>
  <r>
    <x v="0"/>
    <x v="6"/>
    <x v="5"/>
    <n v="64842"/>
    <n v="36567"/>
    <n v="28275"/>
    <n v="0.43605996113630002"/>
  </r>
  <r>
    <x v="0"/>
    <x v="6"/>
    <x v="6"/>
    <n v="275984"/>
    <n v="142167"/>
    <n v="133817"/>
    <n v="0.48487231143834397"/>
  </r>
  <r>
    <x v="0"/>
    <x v="6"/>
    <x v="7"/>
    <n v="99746"/>
    <n v="60969"/>
    <n v="38777"/>
    <n v="0.38875744390752498"/>
  </r>
  <r>
    <x v="1"/>
    <x v="6"/>
    <x v="8"/>
    <n v="359323"/>
    <n v="128772"/>
    <n v="230551"/>
    <n v="0.64162605789220295"/>
  </r>
  <r>
    <x v="0"/>
    <x v="6"/>
    <x v="9"/>
    <n v="41647"/>
    <n v="26499"/>
    <n v="15148"/>
    <n v="0.36372367757581597"/>
  </r>
  <r>
    <x v="0"/>
    <x v="6"/>
    <x v="10"/>
    <n v="36674"/>
    <n v="23752"/>
    <n v="12922"/>
    <n v="0.35234771227572698"/>
  </r>
  <r>
    <x v="1"/>
    <x v="6"/>
    <x v="11"/>
    <n v="15770"/>
    <n v="5955"/>
    <n v="9815"/>
    <n v="0.622384273937857"/>
  </r>
  <r>
    <x v="1"/>
    <x v="6"/>
    <x v="12"/>
    <n v="37160"/>
    <n v="21133"/>
    <n v="16027"/>
    <n v="0.43129709364908497"/>
  </r>
  <r>
    <x v="0"/>
    <x v="6"/>
    <x v="13"/>
    <n v="25578"/>
    <n v="14654"/>
    <n v="10924"/>
    <n v="0.42708577683947102"/>
  </r>
  <r>
    <x v="1"/>
    <x v="6"/>
    <x v="14"/>
    <n v="235954"/>
    <n v="89607"/>
    <n v="146347"/>
    <n v="0.62023530010086703"/>
  </r>
  <r>
    <x v="0"/>
    <x v="6"/>
    <x v="15"/>
    <n v="185704"/>
    <n v="117172"/>
    <n v="68532"/>
    <n v="0.369038900616034"/>
  </r>
  <r>
    <x v="0"/>
    <x v="6"/>
    <x v="16"/>
    <n v="5065"/>
    <n v="2598"/>
    <n v="2467"/>
    <n v="0.48706811451135201"/>
  </r>
  <r>
    <x v="0"/>
    <x v="6"/>
    <x v="17"/>
    <n v="23398"/>
    <n v="13389"/>
    <n v="10009"/>
    <n v="0.427771604410633"/>
  </r>
  <r>
    <x v="0"/>
    <x v="6"/>
    <x v="18"/>
    <n v="443044"/>
    <n v="191402"/>
    <n v="251642"/>
    <n v="0.56798421827177403"/>
  </r>
  <r>
    <x v="1"/>
    <x v="6"/>
    <x v="19"/>
    <n v="391644"/>
    <n v="200966"/>
    <n v="190678"/>
    <n v="0.48686562286157797"/>
  </r>
  <r>
    <x v="0"/>
    <x v="6"/>
    <x v="20"/>
    <n v="62721"/>
    <n v="50002"/>
    <n v="12719"/>
    <n v="0.20278694536120301"/>
  </r>
  <r>
    <x v="0"/>
    <x v="6"/>
    <x v="21"/>
    <n v="35265"/>
    <n v="24547"/>
    <n v="10718"/>
    <n v="0.30392740677725799"/>
  </r>
  <r>
    <x v="0"/>
    <x v="6"/>
    <x v="22"/>
    <n v="7531"/>
    <n v="3448"/>
    <n v="4083"/>
    <n v="0.54215907581994405"/>
  </r>
  <r>
    <x v="0"/>
    <x v="7"/>
    <x v="0"/>
    <n v="8390"/>
    <n v="8153"/>
    <n v="237"/>
    <n v="2.8247914183551801E-2"/>
  </r>
  <r>
    <x v="1"/>
    <x v="7"/>
    <x v="1"/>
    <n v="857265"/>
    <n v="244300"/>
    <n v="612965"/>
    <n v="0.71502394242153799"/>
  </r>
  <r>
    <x v="1"/>
    <x v="7"/>
    <x v="2"/>
    <n v="20598"/>
    <n v="13952"/>
    <n v="6646"/>
    <n v="0.32265268472667202"/>
  </r>
  <r>
    <x v="0"/>
    <x v="7"/>
    <x v="3"/>
    <n v="24243"/>
    <n v="15680"/>
    <n v="8563"/>
    <n v="0.35321536113517299"/>
  </r>
  <r>
    <x v="0"/>
    <x v="7"/>
    <x v="4"/>
    <n v="157700"/>
    <n v="94043"/>
    <n v="63657"/>
    <n v="0.40365884590995599"/>
  </r>
  <r>
    <x v="0"/>
    <x v="7"/>
    <x v="5"/>
    <n v="60581"/>
    <n v="39600"/>
    <n v="20981"/>
    <n v="0.34632970733398299"/>
  </r>
  <r>
    <x v="0"/>
    <x v="7"/>
    <x v="6"/>
    <n v="264787"/>
    <n v="138843"/>
    <n v="125944"/>
    <n v="0.47564268638566098"/>
  </r>
  <r>
    <x v="0"/>
    <x v="7"/>
    <x v="7"/>
    <n v="88813"/>
    <n v="74648"/>
    <n v="14165"/>
    <n v="0.15949241665071601"/>
  </r>
  <r>
    <x v="1"/>
    <x v="7"/>
    <x v="8"/>
    <n v="327020"/>
    <n v="125150"/>
    <n v="201870"/>
    <n v="0.61730169408598901"/>
  </r>
  <r>
    <x v="0"/>
    <x v="7"/>
    <x v="9"/>
    <n v="37820"/>
    <n v="28181"/>
    <n v="9639"/>
    <n v="0.25486515071390797"/>
  </r>
  <r>
    <x v="0"/>
    <x v="7"/>
    <x v="10"/>
    <n v="33299"/>
    <n v="23752"/>
    <n v="9547"/>
    <n v="0.28670530646566"/>
  </r>
  <r>
    <x v="1"/>
    <x v="7"/>
    <x v="11"/>
    <n v="15100"/>
    <n v="6106"/>
    <n v="8994"/>
    <n v="0.59562913907284798"/>
  </r>
  <r>
    <x v="1"/>
    <x v="7"/>
    <x v="12"/>
    <n v="34763"/>
    <n v="19970"/>
    <n v="14793"/>
    <n v="0.42553864741247899"/>
  </r>
  <r>
    <x v="0"/>
    <x v="7"/>
    <x v="13"/>
    <n v="23157"/>
    <n v="15680"/>
    <n v="7477"/>
    <n v="0.32288292956773301"/>
  </r>
  <r>
    <x v="1"/>
    <x v="7"/>
    <x v="14"/>
    <n v="233237"/>
    <n v="92027"/>
    <n v="141210"/>
    <n v="0.60543567272774002"/>
  </r>
  <r>
    <x v="0"/>
    <x v="7"/>
    <x v="15"/>
    <n v="164152"/>
    <n v="120508"/>
    <n v="43644"/>
    <n v="0.26587552999658898"/>
  </r>
  <r>
    <x v="0"/>
    <x v="7"/>
    <x v="16"/>
    <n v="4472"/>
    <n v="2598"/>
    <n v="1874"/>
    <n v="0.41905187835420399"/>
  </r>
  <r>
    <x v="0"/>
    <x v="7"/>
    <x v="17"/>
    <n v="21733"/>
    <n v="14805"/>
    <n v="6928"/>
    <n v="0.31877789536649298"/>
  </r>
  <r>
    <x v="0"/>
    <x v="7"/>
    <x v="18"/>
    <n v="407679"/>
    <n v="197043"/>
    <n v="210636"/>
    <n v="0.51667120455063897"/>
  </r>
  <r>
    <x v="1"/>
    <x v="7"/>
    <x v="19"/>
    <n v="381869"/>
    <n v="213856"/>
    <n v="168013"/>
    <n v="0.439975488976586"/>
  </r>
  <r>
    <x v="0"/>
    <x v="7"/>
    <x v="20"/>
    <n v="66256"/>
    <n v="53195"/>
    <n v="13061"/>
    <n v="0.197129316590196"/>
  </r>
  <r>
    <x v="0"/>
    <x v="7"/>
    <x v="21"/>
    <n v="31528"/>
    <n v="26861"/>
    <n v="4667"/>
    <n v="0.148027150469424"/>
  </r>
  <r>
    <x v="0"/>
    <x v="7"/>
    <x v="22"/>
    <n v="5992"/>
    <n v="3516"/>
    <n v="2476"/>
    <n v="0.41321762349799701"/>
  </r>
  <r>
    <x v="0"/>
    <x v="8"/>
    <x v="0"/>
    <n v="8505"/>
    <n v="8042"/>
    <n v="463"/>
    <n v="5.4438565549676701E-2"/>
  </r>
  <r>
    <x v="1"/>
    <x v="8"/>
    <x v="1"/>
    <n v="858010"/>
    <n v="252684"/>
    <n v="605326"/>
    <n v="0.70549993589818305"/>
  </r>
  <r>
    <x v="1"/>
    <x v="8"/>
    <x v="2"/>
    <n v="20301"/>
    <n v="12245"/>
    <n v="8056"/>
    <n v="0.39682774247573999"/>
  </r>
  <r>
    <x v="0"/>
    <x v="8"/>
    <x v="3"/>
    <n v="25926"/>
    <n v="13657"/>
    <n v="12269"/>
    <n v="0.473231505052843"/>
  </r>
  <r>
    <x v="0"/>
    <x v="8"/>
    <x v="4"/>
    <n v="161463"/>
    <n v="88894"/>
    <n v="72569"/>
    <n v="0.44944662244600903"/>
  </r>
  <r>
    <x v="0"/>
    <x v="8"/>
    <x v="5"/>
    <n v="54190"/>
    <n v="35617"/>
    <n v="18573"/>
    <n v="0.34273851264070898"/>
  </r>
  <r>
    <x v="0"/>
    <x v="8"/>
    <x v="6"/>
    <n v="266259"/>
    <n v="134021"/>
    <n v="132238"/>
    <n v="0.49665175637255499"/>
  </r>
  <r>
    <x v="0"/>
    <x v="8"/>
    <x v="7"/>
    <n v="88631"/>
    <n v="60889"/>
    <n v="27742"/>
    <n v="0.31300560751881401"/>
  </r>
  <r>
    <x v="1"/>
    <x v="8"/>
    <x v="8"/>
    <n v="355400"/>
    <n v="123735"/>
    <n v="231665"/>
    <n v="0.65184299380979205"/>
  </r>
  <r>
    <x v="0"/>
    <x v="8"/>
    <x v="9"/>
    <n v="39154"/>
    <n v="24763"/>
    <n v="14391"/>
    <n v="0.36754865403279402"/>
  </r>
  <r>
    <x v="0"/>
    <x v="8"/>
    <x v="10"/>
    <n v="33772"/>
    <n v="21824"/>
    <n v="11948"/>
    <n v="0.35378419992893501"/>
  </r>
  <r>
    <x v="1"/>
    <x v="8"/>
    <x v="11"/>
    <n v="16320"/>
    <n v="5878"/>
    <n v="10442"/>
    <n v="0.63982843137254897"/>
  </r>
  <r>
    <x v="1"/>
    <x v="8"/>
    <x v="12"/>
    <n v="33386"/>
    <n v="19202"/>
    <n v="14184"/>
    <n v="0.42484873899239201"/>
  </r>
  <r>
    <x v="0"/>
    <x v="8"/>
    <x v="13"/>
    <n v="23240"/>
    <n v="13657"/>
    <n v="9583"/>
    <n v="0.41234939759036099"/>
  </r>
  <r>
    <x v="1"/>
    <x v="8"/>
    <x v="14"/>
    <n v="230373"/>
    <n v="84577"/>
    <n v="145796"/>
    <n v="0.63286930326036495"/>
  </r>
  <r>
    <x v="0"/>
    <x v="8"/>
    <x v="15"/>
    <n v="163453"/>
    <n v="105251"/>
    <n v="58202"/>
    <n v="0.35607789395116601"/>
  </r>
  <r>
    <x v="0"/>
    <x v="8"/>
    <x v="16"/>
    <n v="4238"/>
    <n v="2232"/>
    <n v="2006"/>
    <n v="0.47333647947144902"/>
  </r>
  <r>
    <x v="0"/>
    <x v="8"/>
    <x v="17"/>
    <n v="21865"/>
    <n v="12692"/>
    <n v="9173"/>
    <n v="0.41952892750971899"/>
  </r>
  <r>
    <x v="0"/>
    <x v="8"/>
    <x v="18"/>
    <n v="416200"/>
    <n v="178980"/>
    <n v="237220"/>
    <n v="0.569966362325805"/>
  </r>
  <r>
    <x v="1"/>
    <x v="8"/>
    <x v="19"/>
    <n v="371795"/>
    <n v="195172"/>
    <n v="176623"/>
    <n v="0.475054801705241"/>
  </r>
  <r>
    <x v="0"/>
    <x v="8"/>
    <x v="20"/>
    <n v="58832"/>
    <n v="46627"/>
    <n v="12205"/>
    <n v="0.20745512646179001"/>
  </r>
  <r>
    <x v="0"/>
    <x v="8"/>
    <x v="21"/>
    <n v="31358"/>
    <n v="23831"/>
    <n v="7527"/>
    <n v="0.240034440972001"/>
  </r>
  <r>
    <x v="0"/>
    <x v="8"/>
    <x v="22"/>
    <n v="7941"/>
    <n v="3441"/>
    <n v="4500"/>
    <n v="0.56667925953910103"/>
  </r>
  <r>
    <x v="0"/>
    <x v="9"/>
    <x v="0"/>
    <n v="7254"/>
    <n v="7174"/>
    <n v="80"/>
    <n v="1.10283981251723E-2"/>
  </r>
  <r>
    <x v="1"/>
    <x v="9"/>
    <x v="1"/>
    <n v="837703"/>
    <n v="250893"/>
    <n v="586810"/>
    <n v="0.700498864155912"/>
  </r>
  <r>
    <x v="1"/>
    <x v="9"/>
    <x v="2"/>
    <n v="19079"/>
    <n v="11718"/>
    <n v="7361"/>
    <n v="0.38581686671209198"/>
  </r>
  <r>
    <x v="0"/>
    <x v="9"/>
    <x v="3"/>
    <n v="24865"/>
    <n v="13957"/>
    <n v="10908"/>
    <n v="0.43868892016891198"/>
  </r>
  <r>
    <x v="0"/>
    <x v="9"/>
    <x v="4"/>
    <n v="146906"/>
    <n v="96150"/>
    <n v="50756"/>
    <n v="0.3454998434373"/>
  </r>
  <r>
    <x v="0"/>
    <x v="9"/>
    <x v="5"/>
    <n v="63112"/>
    <n v="35000"/>
    <n v="28112"/>
    <n v="0.44543034605146398"/>
  </r>
  <r>
    <x v="0"/>
    <x v="9"/>
    <x v="6"/>
    <n v="242220"/>
    <n v="131194"/>
    <n v="111026"/>
    <n v="0.45836842539839801"/>
  </r>
  <r>
    <x v="0"/>
    <x v="9"/>
    <x v="7"/>
    <n v="79912"/>
    <n v="63111"/>
    <n v="16801"/>
    <n v="0.21024376814495899"/>
  </r>
  <r>
    <x v="1"/>
    <x v="9"/>
    <x v="8"/>
    <n v="366341"/>
    <n v="133527"/>
    <n v="232814"/>
    <n v="0.63551172268460299"/>
  </r>
  <r>
    <x v="0"/>
    <x v="9"/>
    <x v="9"/>
    <n v="36195"/>
    <n v="25150"/>
    <n v="11045"/>
    <n v="0.30515264539301001"/>
  </r>
  <r>
    <x v="0"/>
    <x v="9"/>
    <x v="10"/>
    <n v="30722"/>
    <n v="21479"/>
    <n v="9243"/>
    <n v="0.300859319054749"/>
  </r>
  <r>
    <x v="1"/>
    <x v="9"/>
    <x v="11"/>
    <n v="14555"/>
    <n v="5592"/>
    <n v="8963"/>
    <n v="0.615802129852284"/>
  </r>
  <r>
    <x v="1"/>
    <x v="9"/>
    <x v="12"/>
    <n v="30804"/>
    <n v="19906"/>
    <n v="10898"/>
    <n v="0.353785222698351"/>
  </r>
  <r>
    <x v="0"/>
    <x v="9"/>
    <x v="13"/>
    <n v="21587"/>
    <n v="13957"/>
    <n v="7630"/>
    <n v="0.35345346736461802"/>
  </r>
  <r>
    <x v="1"/>
    <x v="9"/>
    <x v="14"/>
    <n v="220771"/>
    <n v="86840"/>
    <n v="133931"/>
    <n v="0.60665123589601899"/>
  </r>
  <r>
    <x v="0"/>
    <x v="9"/>
    <x v="15"/>
    <n v="161328"/>
    <n v="109041"/>
    <n v="52287"/>
    <n v="0.32410368937816098"/>
  </r>
  <r>
    <x v="0"/>
    <x v="9"/>
    <x v="16"/>
    <n v="4017"/>
    <n v="2471"/>
    <n v="1546"/>
    <n v="0.38486432661189901"/>
  </r>
  <r>
    <x v="0"/>
    <x v="9"/>
    <x v="17"/>
    <n v="19206"/>
    <n v="12973"/>
    <n v="6233"/>
    <n v="0.32453399979173198"/>
  </r>
  <r>
    <x v="0"/>
    <x v="9"/>
    <x v="18"/>
    <n v="387614"/>
    <n v="187597"/>
    <n v="200017"/>
    <n v="0.51602109314936995"/>
  </r>
  <r>
    <x v="1"/>
    <x v="9"/>
    <x v="19"/>
    <n v="357002"/>
    <n v="203287"/>
    <n v="153715"/>
    <n v="0.43057181752483198"/>
  </r>
  <r>
    <x v="0"/>
    <x v="9"/>
    <x v="20"/>
    <n v="58672"/>
    <n v="47514"/>
    <n v="11158"/>
    <n v="0.19017589310062699"/>
  </r>
  <r>
    <x v="0"/>
    <x v="9"/>
    <x v="21"/>
    <n v="33415"/>
    <n v="23826"/>
    <n v="9589"/>
    <n v="0.286966931019003"/>
  </r>
  <r>
    <x v="0"/>
    <x v="9"/>
    <x v="22"/>
    <n v="7672"/>
    <n v="3404"/>
    <n v="4268"/>
    <n v="0.55630865484880099"/>
  </r>
  <r>
    <x v="0"/>
    <x v="10"/>
    <x v="0"/>
    <n v="7315"/>
    <n v="6412"/>
    <n v="903"/>
    <n v="0.123444976076555"/>
  </r>
  <r>
    <x v="1"/>
    <x v="10"/>
    <x v="1"/>
    <n v="868109"/>
    <n v="233599"/>
    <n v="634510"/>
    <n v="0.73091051930114803"/>
  </r>
  <r>
    <x v="1"/>
    <x v="10"/>
    <x v="2"/>
    <n v="20342"/>
    <n v="11631"/>
    <n v="8711"/>
    <n v="0.42822731294857902"/>
  </r>
  <r>
    <x v="0"/>
    <x v="10"/>
    <x v="3"/>
    <n v="23761"/>
    <n v="13477"/>
    <n v="10284"/>
    <n v="0.43281006691637602"/>
  </r>
  <r>
    <x v="0"/>
    <x v="10"/>
    <x v="4"/>
    <n v="149429"/>
    <n v="97817"/>
    <n v="51612"/>
    <n v="0.34539480288297397"/>
  </r>
  <r>
    <x v="0"/>
    <x v="10"/>
    <x v="5"/>
    <n v="60652"/>
    <n v="31546"/>
    <n v="29106"/>
    <n v="0.47988524698278701"/>
  </r>
  <r>
    <x v="0"/>
    <x v="10"/>
    <x v="6"/>
    <n v="251859"/>
    <n v="127625"/>
    <n v="124234"/>
    <n v="0.49326805871539198"/>
  </r>
  <r>
    <x v="0"/>
    <x v="10"/>
    <x v="7"/>
    <n v="86426"/>
    <n v="60869"/>
    <n v="25557"/>
    <n v="0.29570962441857801"/>
  </r>
  <r>
    <x v="1"/>
    <x v="10"/>
    <x v="8"/>
    <n v="387725"/>
    <n v="117402"/>
    <n v="270323"/>
    <n v="0.69720291443677895"/>
  </r>
  <r>
    <x v="0"/>
    <x v="10"/>
    <x v="9"/>
    <n v="34167"/>
    <n v="24904"/>
    <n v="9263"/>
    <n v="0.27110955015073002"/>
  </r>
  <r>
    <x v="0"/>
    <x v="10"/>
    <x v="10"/>
    <n v="31156"/>
    <n v="20606"/>
    <n v="10550"/>
    <n v="0.338618564642444"/>
  </r>
  <r>
    <x v="1"/>
    <x v="10"/>
    <x v="11"/>
    <n v="14696"/>
    <n v="4986"/>
    <n v="9710"/>
    <n v="0.66072400653239005"/>
  </r>
  <r>
    <x v="1"/>
    <x v="10"/>
    <x v="12"/>
    <n v="31930"/>
    <n v="17896"/>
    <n v="14034"/>
    <n v="0.439523958659568"/>
  </r>
  <r>
    <x v="0"/>
    <x v="10"/>
    <x v="13"/>
    <n v="22654"/>
    <n v="13477"/>
    <n v="9177"/>
    <n v="0.40509402313057302"/>
  </r>
  <r>
    <x v="1"/>
    <x v="10"/>
    <x v="14"/>
    <n v="227726"/>
    <n v="81042"/>
    <n v="146684"/>
    <n v="0.64412495718538998"/>
  </r>
  <r>
    <x v="0"/>
    <x v="10"/>
    <x v="15"/>
    <n v="165165"/>
    <n v="107259"/>
    <n v="57906"/>
    <n v="0.35059485968576898"/>
  </r>
  <r>
    <x v="0"/>
    <x v="10"/>
    <x v="16"/>
    <n v="3900"/>
    <n v="2281"/>
    <n v="1619"/>
    <n v="0.41512820512820497"/>
  </r>
  <r>
    <x v="0"/>
    <x v="10"/>
    <x v="17"/>
    <n v="20044"/>
    <n v="12051"/>
    <n v="7993"/>
    <n v="0.39877270005986798"/>
  </r>
  <r>
    <x v="0"/>
    <x v="10"/>
    <x v="18"/>
    <n v="369773"/>
    <n v="175062"/>
    <n v="194711"/>
    <n v="0.52656900314517296"/>
  </r>
  <r>
    <x v="1"/>
    <x v="10"/>
    <x v="19"/>
    <n v="375768"/>
    <n v="180089"/>
    <n v="195679"/>
    <n v="0.52074418258074096"/>
  </r>
  <r>
    <x v="0"/>
    <x v="10"/>
    <x v="20"/>
    <n v="58724"/>
    <n v="46510"/>
    <n v="12214"/>
    <n v="0.20798991894285099"/>
  </r>
  <r>
    <x v="0"/>
    <x v="10"/>
    <x v="21"/>
    <n v="32597"/>
    <n v="22774"/>
    <n v="9823"/>
    <n v="0.30134674970089298"/>
  </r>
  <r>
    <x v="0"/>
    <x v="10"/>
    <x v="22"/>
    <n v="7851"/>
    <n v="3095"/>
    <n v="4756"/>
    <n v="0.60578270284040203"/>
  </r>
  <r>
    <x v="0"/>
    <x v="11"/>
    <x v="0"/>
    <n v="7210"/>
    <n v="7011"/>
    <n v="199"/>
    <n v="2.7600554785020801E-2"/>
  </r>
  <r>
    <x v="1"/>
    <x v="11"/>
    <x v="1"/>
    <n v="861486"/>
    <n v="238381"/>
    <n v="623105"/>
    <n v="0.72329091825055802"/>
  </r>
  <r>
    <x v="1"/>
    <x v="11"/>
    <x v="2"/>
    <n v="20285"/>
    <n v="11330"/>
    <n v="8955"/>
    <n v="0.44145920631008101"/>
  </r>
  <r>
    <x v="0"/>
    <x v="11"/>
    <x v="3"/>
    <n v="23562"/>
    <n v="13809"/>
    <n v="9753"/>
    <n v="0.41392920804685501"/>
  </r>
  <r>
    <x v="0"/>
    <x v="11"/>
    <x v="4"/>
    <n v="148329"/>
    <n v="99612"/>
    <n v="48717"/>
    <n v="0.32843880832473799"/>
  </r>
  <r>
    <x v="0"/>
    <x v="11"/>
    <x v="5"/>
    <n v="62172"/>
    <n v="34639"/>
    <n v="27533"/>
    <n v="0.442852087756546"/>
  </r>
  <r>
    <x v="0"/>
    <x v="11"/>
    <x v="6"/>
    <n v="250530"/>
    <n v="125704"/>
    <n v="124826"/>
    <n v="0.49824771484453001"/>
  </r>
  <r>
    <x v="0"/>
    <x v="11"/>
    <x v="7"/>
    <n v="82911"/>
    <n v="61099"/>
    <n v="21812"/>
    <n v="0.263077275632908"/>
  </r>
  <r>
    <x v="1"/>
    <x v="11"/>
    <x v="8"/>
    <n v="369370"/>
    <n v="114820"/>
    <n v="254550"/>
    <n v="0.68914638438422204"/>
  </r>
  <r>
    <x v="0"/>
    <x v="11"/>
    <x v="9"/>
    <n v="36830"/>
    <n v="23831"/>
    <n v="12999"/>
    <n v="0.352945967960901"/>
  </r>
  <r>
    <x v="0"/>
    <x v="11"/>
    <x v="10"/>
    <n v="31924"/>
    <n v="20793"/>
    <n v="11131"/>
    <n v="0.348671845633379"/>
  </r>
  <r>
    <x v="1"/>
    <x v="11"/>
    <x v="11"/>
    <n v="15466"/>
    <n v="5611"/>
    <n v="9855"/>
    <n v="0.63720418983576899"/>
  </r>
  <r>
    <x v="1"/>
    <x v="11"/>
    <x v="12"/>
    <n v="30776"/>
    <n v="17972"/>
    <n v="12804"/>
    <n v="0.416038471536262"/>
  </r>
  <r>
    <x v="0"/>
    <x v="11"/>
    <x v="13"/>
    <n v="21679"/>
    <n v="13809"/>
    <n v="7870"/>
    <n v="0.36302412472899998"/>
  </r>
  <r>
    <x v="1"/>
    <x v="11"/>
    <x v="14"/>
    <n v="225542"/>
    <n v="83448"/>
    <n v="142094"/>
    <n v="0.63001126176055899"/>
  </r>
  <r>
    <x v="0"/>
    <x v="11"/>
    <x v="15"/>
    <n v="162898"/>
    <n v="102950"/>
    <n v="59948"/>
    <n v="0.36800942921337298"/>
  </r>
  <r>
    <x v="0"/>
    <x v="11"/>
    <x v="16"/>
    <n v="3718"/>
    <n v="2498"/>
    <n v="1220"/>
    <n v="0.32813340505648197"/>
  </r>
  <r>
    <x v="0"/>
    <x v="11"/>
    <x v="17"/>
    <n v="20607"/>
    <n v="12148"/>
    <n v="8459"/>
    <n v="0.41049158053088802"/>
  </r>
  <r>
    <x v="0"/>
    <x v="11"/>
    <x v="18"/>
    <n v="363444"/>
    <n v="172321"/>
    <n v="191123"/>
    <n v="0.52586643334323901"/>
  </r>
  <r>
    <x v="1"/>
    <x v="11"/>
    <x v="19"/>
    <n v="366114"/>
    <n v="190568"/>
    <n v="175546"/>
    <n v="0.47948453214026199"/>
  </r>
  <r>
    <x v="0"/>
    <x v="11"/>
    <x v="20"/>
    <n v="55518"/>
    <n v="44366"/>
    <n v="11152"/>
    <n v="0.20087178932958699"/>
  </r>
  <r>
    <x v="0"/>
    <x v="11"/>
    <x v="21"/>
    <n v="32406"/>
    <n v="23355"/>
    <n v="9051"/>
    <n v="0.279300129605629"/>
  </r>
  <r>
    <x v="0"/>
    <x v="11"/>
    <x v="22"/>
    <n v="7574"/>
    <n v="3572"/>
    <n v="4002"/>
    <n v="0.52838658568787999"/>
  </r>
  <r>
    <x v="0"/>
    <x v="12"/>
    <x v="0"/>
    <n v="10419"/>
    <n v="7281"/>
    <n v="3138"/>
    <n v="0.30118053556003499"/>
  </r>
  <r>
    <x v="1"/>
    <x v="12"/>
    <x v="1"/>
    <n v="847048"/>
    <n v="253235"/>
    <n v="593813"/>
    <n v="0.70103819382136601"/>
  </r>
  <r>
    <x v="1"/>
    <x v="12"/>
    <x v="2"/>
    <n v="19133"/>
    <n v="12370"/>
    <n v="6763"/>
    <n v="0.35347305702189902"/>
  </r>
  <r>
    <x v="0"/>
    <x v="12"/>
    <x v="3"/>
    <n v="22097"/>
    <n v="14212"/>
    <n v="7885"/>
    <n v="0.356835769561479"/>
  </r>
  <r>
    <x v="0"/>
    <x v="12"/>
    <x v="4"/>
    <n v="140305"/>
    <n v="96717"/>
    <n v="43588"/>
    <n v="0.31066604896475503"/>
  </r>
  <r>
    <x v="0"/>
    <x v="12"/>
    <x v="5"/>
    <n v="54633"/>
    <n v="35708"/>
    <n v="18925"/>
    <n v="0.34640235754946602"/>
  </r>
  <r>
    <x v="0"/>
    <x v="12"/>
    <x v="6"/>
    <n v="244521"/>
    <n v="139397"/>
    <n v="105124"/>
    <n v="0.42991808474527798"/>
  </r>
  <r>
    <x v="0"/>
    <x v="12"/>
    <x v="7"/>
    <n v="80887"/>
    <n v="68795"/>
    <n v="12092"/>
    <n v="0.14949250188534599"/>
  </r>
  <r>
    <x v="1"/>
    <x v="12"/>
    <x v="8"/>
    <n v="356994"/>
    <n v="134270"/>
    <n v="222724"/>
    <n v="0.62388723620004805"/>
  </r>
  <r>
    <x v="0"/>
    <x v="12"/>
    <x v="9"/>
    <n v="36517"/>
    <n v="26377"/>
    <n v="10140"/>
    <n v="0.27767888928444301"/>
  </r>
  <r>
    <x v="0"/>
    <x v="12"/>
    <x v="10"/>
    <n v="29683"/>
    <n v="23022"/>
    <n v="6661"/>
    <n v="0.224404541319947"/>
  </r>
  <r>
    <x v="1"/>
    <x v="12"/>
    <x v="11"/>
    <n v="15374"/>
    <n v="5226"/>
    <n v="10148"/>
    <n v="0.66007545206192297"/>
  </r>
  <r>
    <x v="1"/>
    <x v="12"/>
    <x v="12"/>
    <n v="32053"/>
    <n v="20049"/>
    <n v="12004"/>
    <n v="0.37450472654665701"/>
  </r>
  <r>
    <x v="0"/>
    <x v="12"/>
    <x v="13"/>
    <n v="26472"/>
    <n v="14212"/>
    <n v="12260"/>
    <n v="0.46313085524327602"/>
  </r>
  <r>
    <x v="1"/>
    <x v="12"/>
    <x v="14"/>
    <n v="218190"/>
    <n v="89735"/>
    <n v="128455"/>
    <n v="0.58873000595810998"/>
  </r>
  <r>
    <x v="0"/>
    <x v="12"/>
    <x v="15"/>
    <n v="149398"/>
    <n v="115393"/>
    <n v="34005"/>
    <n v="0.227613488801724"/>
  </r>
  <r>
    <x v="0"/>
    <x v="12"/>
    <x v="16"/>
    <n v="3603"/>
    <n v="2541"/>
    <n v="1062"/>
    <n v="0.29475437135720201"/>
  </r>
  <r>
    <x v="0"/>
    <x v="12"/>
    <x v="17"/>
    <n v="20457"/>
    <n v="13420"/>
    <n v="7037"/>
    <n v="0.34398983233123098"/>
  </r>
  <r>
    <x v="0"/>
    <x v="12"/>
    <x v="18"/>
    <n v="357051"/>
    <n v="181880"/>
    <n v="175171"/>
    <n v="0.49060498360178201"/>
  </r>
  <r>
    <x v="1"/>
    <x v="12"/>
    <x v="19"/>
    <n v="362626"/>
    <n v="203957"/>
    <n v="158669"/>
    <n v="0.43755549795105703"/>
  </r>
  <r>
    <x v="0"/>
    <x v="12"/>
    <x v="20"/>
    <n v="61541"/>
    <n v="49382"/>
    <n v="12159"/>
    <n v="0.19757560000650001"/>
  </r>
  <r>
    <x v="0"/>
    <x v="12"/>
    <x v="21"/>
    <n v="30122"/>
    <n v="25330"/>
    <n v="4792"/>
    <n v="0.15908638204634501"/>
  </r>
  <r>
    <x v="0"/>
    <x v="12"/>
    <x v="22"/>
    <n v="6995"/>
    <n v="3058"/>
    <n v="3937"/>
    <n v="0.562830593280915"/>
  </r>
  <r>
    <x v="0"/>
    <x v="13"/>
    <x v="0"/>
    <n v="11956"/>
    <n v="6565"/>
    <n v="5391"/>
    <n v="0.45090331214453"/>
  </r>
  <r>
    <x v="1"/>
    <x v="13"/>
    <x v="1"/>
    <n v="852051"/>
    <n v="245880"/>
    <n v="606171"/>
    <n v="0.71142572451649"/>
  </r>
  <r>
    <x v="1"/>
    <x v="13"/>
    <x v="2"/>
    <n v="19849"/>
    <n v="11473"/>
    <n v="8376"/>
    <n v="0.42198599425663802"/>
  </r>
  <r>
    <x v="0"/>
    <x v="13"/>
    <x v="3"/>
    <n v="22211"/>
    <n v="13300"/>
    <n v="8911"/>
    <n v="0.40119760479041899"/>
  </r>
  <r>
    <x v="0"/>
    <x v="13"/>
    <x v="4"/>
    <n v="144632"/>
    <n v="89629"/>
    <n v="55003"/>
    <n v="0.38029620001106301"/>
  </r>
  <r>
    <x v="0"/>
    <x v="13"/>
    <x v="5"/>
    <n v="55413"/>
    <n v="33347"/>
    <n v="22066"/>
    <n v="0.39820980636312803"/>
  </r>
  <r>
    <x v="0"/>
    <x v="13"/>
    <x v="6"/>
    <n v="251094"/>
    <n v="131548"/>
    <n v="119546"/>
    <n v="0.47610058384509402"/>
  </r>
  <r>
    <x v="0"/>
    <x v="13"/>
    <x v="7"/>
    <n v="84599"/>
    <n v="62366"/>
    <n v="22233"/>
    <n v="0.262804524876181"/>
  </r>
  <r>
    <x v="1"/>
    <x v="13"/>
    <x v="8"/>
    <n v="344721"/>
    <n v="120413"/>
    <n v="224308"/>
    <n v="0.65069432961728502"/>
  </r>
  <r>
    <x v="0"/>
    <x v="13"/>
    <x v="9"/>
    <n v="38401"/>
    <n v="24507"/>
    <n v="13894"/>
    <n v="0.36181349444024902"/>
  </r>
  <r>
    <x v="0"/>
    <x v="13"/>
    <x v="10"/>
    <n v="30472"/>
    <n v="21671"/>
    <n v="8801"/>
    <n v="0.28882252559727001"/>
  </r>
  <r>
    <x v="1"/>
    <x v="13"/>
    <x v="11"/>
    <n v="15369"/>
    <n v="5433"/>
    <n v="9936"/>
    <n v="0.64649619363654098"/>
  </r>
  <r>
    <x v="1"/>
    <x v="13"/>
    <x v="12"/>
    <n v="32851"/>
    <n v="18323"/>
    <n v="14528"/>
    <n v="0.44223920124197102"/>
  </r>
  <r>
    <x v="0"/>
    <x v="13"/>
    <x v="13"/>
    <n v="23889"/>
    <n v="13300"/>
    <n v="10589"/>
    <n v="0.44325840344928602"/>
  </r>
  <r>
    <x v="1"/>
    <x v="13"/>
    <x v="14"/>
    <n v="228851"/>
    <n v="83784"/>
    <n v="145067"/>
    <n v="0.63389279487526795"/>
  </r>
  <r>
    <x v="0"/>
    <x v="13"/>
    <x v="15"/>
    <n v="162324"/>
    <n v="101363"/>
    <n v="60961"/>
    <n v="0.37555136640299602"/>
  </r>
  <r>
    <x v="0"/>
    <x v="13"/>
    <x v="16"/>
    <n v="3640"/>
    <n v="2506"/>
    <n v="1134"/>
    <n v="0.31153846153846199"/>
  </r>
  <r>
    <x v="0"/>
    <x v="13"/>
    <x v="17"/>
    <n v="21435"/>
    <n v="13004"/>
    <n v="8431"/>
    <n v="0.393328668066247"/>
  </r>
  <r>
    <x v="0"/>
    <x v="13"/>
    <x v="18"/>
    <n v="383576"/>
    <n v="169262"/>
    <n v="214314"/>
    <n v="0.558726301958412"/>
  </r>
  <r>
    <x v="1"/>
    <x v="13"/>
    <x v="19"/>
    <n v="368220"/>
    <n v="197615"/>
    <n v="170605"/>
    <n v="0.46332355656944202"/>
  </r>
  <r>
    <x v="0"/>
    <x v="13"/>
    <x v="20"/>
    <n v="56828"/>
    <n v="45159"/>
    <n v="11669"/>
    <n v="0.20533891743506699"/>
  </r>
  <r>
    <x v="0"/>
    <x v="13"/>
    <x v="21"/>
    <n v="30519"/>
    <n v="23340"/>
    <n v="7179"/>
    <n v="0.235230512139978"/>
  </r>
  <r>
    <x v="0"/>
    <x v="13"/>
    <x v="22"/>
    <n v="5661"/>
    <n v="3309"/>
    <n v="2352"/>
    <n v="0.41547429782723899"/>
  </r>
  <r>
    <x v="0"/>
    <x v="14"/>
    <x v="0"/>
    <n v="10263"/>
    <n v="8672"/>
    <n v="1591"/>
    <n v="0.15502289778817099"/>
  </r>
  <r>
    <x v="1"/>
    <x v="14"/>
    <x v="1"/>
    <n v="821828"/>
    <n v="277679"/>
    <n v="544149"/>
    <n v="0.66212029767785996"/>
  </r>
  <r>
    <x v="1"/>
    <x v="14"/>
    <x v="2"/>
    <n v="19559"/>
    <n v="12459"/>
    <n v="7100"/>
    <n v="0.36300424357073502"/>
  </r>
  <r>
    <x v="0"/>
    <x v="14"/>
    <x v="3"/>
    <n v="23228"/>
    <n v="16643"/>
    <n v="6585"/>
    <n v="0.28349405889443802"/>
  </r>
  <r>
    <x v="0"/>
    <x v="14"/>
    <x v="4"/>
    <n v="130696"/>
    <n v="109521"/>
    <n v="21175"/>
    <n v="0.16201720022035901"/>
  </r>
  <r>
    <x v="0"/>
    <x v="14"/>
    <x v="5"/>
    <n v="59234"/>
    <n v="38995"/>
    <n v="20239"/>
    <n v="0.34167876557382598"/>
  </r>
  <r>
    <x v="0"/>
    <x v="14"/>
    <x v="6"/>
    <n v="252282"/>
    <n v="155365"/>
    <n v="96917"/>
    <n v="0.38416137496927999"/>
  </r>
  <r>
    <x v="0"/>
    <x v="14"/>
    <x v="7"/>
    <n v="89269"/>
    <n v="70227"/>
    <n v="19042"/>
    <n v="0.213310331694093"/>
  </r>
  <r>
    <x v="1"/>
    <x v="14"/>
    <x v="8"/>
    <n v="339132"/>
    <n v="138105"/>
    <n v="201027"/>
    <n v="0.59276918721913596"/>
  </r>
  <r>
    <x v="0"/>
    <x v="14"/>
    <x v="9"/>
    <n v="41424"/>
    <n v="28467"/>
    <n v="12957"/>
    <n v="0.31278968713789101"/>
  </r>
  <r>
    <x v="0"/>
    <x v="14"/>
    <x v="10"/>
    <n v="34530"/>
    <n v="27351"/>
    <n v="7179"/>
    <n v="0.207906168549088"/>
  </r>
  <r>
    <x v="1"/>
    <x v="14"/>
    <x v="11"/>
    <n v="14788"/>
    <n v="6187"/>
    <n v="8601"/>
    <n v="0.58162023262104401"/>
  </r>
  <r>
    <x v="1"/>
    <x v="14"/>
    <x v="12"/>
    <n v="33369"/>
    <n v="20890"/>
    <n v="12479"/>
    <n v="0.37396985225808399"/>
  </r>
  <r>
    <x v="0"/>
    <x v="14"/>
    <x v="13"/>
    <n v="24489"/>
    <n v="16643"/>
    <n v="7846"/>
    <n v="0.32038874596757699"/>
  </r>
  <r>
    <x v="1"/>
    <x v="14"/>
    <x v="14"/>
    <n v="224542"/>
    <n v="94516"/>
    <n v="130026"/>
    <n v="0.57907206669576305"/>
  </r>
  <r>
    <x v="0"/>
    <x v="14"/>
    <x v="15"/>
    <n v="164054"/>
    <n v="132299"/>
    <n v="31755"/>
    <n v="0.19356431418923001"/>
  </r>
  <r>
    <x v="0"/>
    <x v="14"/>
    <x v="16"/>
    <n v="3666"/>
    <n v="3153"/>
    <n v="513"/>
    <n v="0.139934533551555"/>
  </r>
  <r>
    <x v="0"/>
    <x v="14"/>
    <x v="17"/>
    <n v="21308"/>
    <n v="14874"/>
    <n v="6434"/>
    <n v="0.30195231837807401"/>
  </r>
  <r>
    <x v="0"/>
    <x v="14"/>
    <x v="18"/>
    <n v="373937"/>
    <n v="194411"/>
    <n v="179526"/>
    <n v="0.48009691472092902"/>
  </r>
  <r>
    <x v="1"/>
    <x v="14"/>
    <x v="19"/>
    <n v="376986"/>
    <n v="237990"/>
    <n v="138996"/>
    <n v="0.36870334707389701"/>
  </r>
  <r>
    <x v="0"/>
    <x v="14"/>
    <x v="20"/>
    <n v="63413"/>
    <n v="51757"/>
    <n v="11656"/>
    <n v="0.183810890511409"/>
  </r>
  <r>
    <x v="0"/>
    <x v="14"/>
    <x v="21"/>
    <n v="31553"/>
    <n v="26866"/>
    <n v="4687"/>
    <n v="0.14854372009000699"/>
  </r>
  <r>
    <x v="0"/>
    <x v="14"/>
    <x v="22"/>
    <n v="6587"/>
    <n v="3713"/>
    <n v="2874"/>
    <n v="0.43631395172309101"/>
  </r>
  <r>
    <x v="0"/>
    <x v="15"/>
    <x v="0"/>
    <n v="9003"/>
    <n v="7415"/>
    <n v="1588"/>
    <n v="0.17638564922803501"/>
  </r>
  <r>
    <x v="1"/>
    <x v="15"/>
    <x v="1"/>
    <n v="851470"/>
    <n v="264106"/>
    <n v="587364"/>
    <n v="0.68982348174333796"/>
  </r>
  <r>
    <x v="1"/>
    <x v="15"/>
    <x v="2"/>
    <n v="20481"/>
    <n v="13679"/>
    <n v="6802"/>
    <n v="0.33211268981006797"/>
  </r>
  <r>
    <x v="0"/>
    <x v="15"/>
    <x v="3"/>
    <n v="26029"/>
    <n v="14057"/>
    <n v="11972"/>
    <n v="0.45994851895962202"/>
  </r>
  <r>
    <x v="0"/>
    <x v="15"/>
    <x v="4"/>
    <n v="175298"/>
    <n v="97983"/>
    <n v="77315"/>
    <n v="0.44104895663384602"/>
  </r>
  <r>
    <x v="0"/>
    <x v="15"/>
    <x v="5"/>
    <n v="67124"/>
    <n v="41362"/>
    <n v="25762"/>
    <n v="0.38379715154043298"/>
  </r>
  <r>
    <x v="0"/>
    <x v="15"/>
    <x v="6"/>
    <n v="268564"/>
    <n v="144567"/>
    <n v="123997"/>
    <n v="0.461703727975455"/>
  </r>
  <r>
    <x v="0"/>
    <x v="15"/>
    <x v="7"/>
    <n v="100673"/>
    <n v="64518"/>
    <n v="36155"/>
    <n v="0.359133034676626"/>
  </r>
  <r>
    <x v="1"/>
    <x v="15"/>
    <x v="8"/>
    <n v="351025"/>
    <n v="134051"/>
    <n v="216974"/>
    <n v="0.61811551883769"/>
  </r>
  <r>
    <x v="0"/>
    <x v="15"/>
    <x v="9"/>
    <n v="45104"/>
    <n v="27824"/>
    <n v="17280"/>
    <n v="0.38311457963817003"/>
  </r>
  <r>
    <x v="0"/>
    <x v="15"/>
    <x v="10"/>
    <n v="37466"/>
    <n v="24730"/>
    <n v="12736"/>
    <n v="0.33993487428601898"/>
  </r>
  <r>
    <x v="1"/>
    <x v="15"/>
    <x v="11"/>
    <n v="14509"/>
    <n v="5789"/>
    <n v="8720"/>
    <n v="0.60100627196912304"/>
  </r>
  <r>
    <x v="1"/>
    <x v="15"/>
    <x v="12"/>
    <n v="34326"/>
    <n v="20379"/>
    <n v="13947"/>
    <n v="0.406310085649362"/>
  </r>
  <r>
    <x v="0"/>
    <x v="15"/>
    <x v="13"/>
    <n v="25533"/>
    <n v="14057"/>
    <n v="11476"/>
    <n v="0.44945756472016601"/>
  </r>
  <r>
    <x v="1"/>
    <x v="15"/>
    <x v="14"/>
    <n v="229610"/>
    <n v="95285"/>
    <n v="134325"/>
    <n v="0.58501371891468201"/>
  </r>
  <r>
    <x v="0"/>
    <x v="15"/>
    <x v="15"/>
    <n v="181720"/>
    <n v="118631"/>
    <n v="63089"/>
    <n v="0.34717697556680599"/>
  </r>
  <r>
    <x v="0"/>
    <x v="15"/>
    <x v="16"/>
    <n v="4199"/>
    <n v="2705"/>
    <n v="1494"/>
    <n v="0.35579899976184798"/>
  </r>
  <r>
    <x v="0"/>
    <x v="15"/>
    <x v="17"/>
    <n v="22112"/>
    <n v="13814"/>
    <n v="8298"/>
    <n v="0.37527134587554301"/>
  </r>
  <r>
    <x v="0"/>
    <x v="15"/>
    <x v="18"/>
    <n v="387572"/>
    <n v="177682"/>
    <n v="209890"/>
    <n v="0.54155098923554801"/>
  </r>
  <r>
    <x v="1"/>
    <x v="15"/>
    <x v="19"/>
    <n v="403116"/>
    <n v="216028"/>
    <n v="187088"/>
    <n v="0.46410462497147198"/>
  </r>
  <r>
    <x v="0"/>
    <x v="15"/>
    <x v="20"/>
    <n v="63123"/>
    <n v="50853"/>
    <n v="12270"/>
    <n v="0.19438239627394099"/>
  </r>
  <r>
    <x v="0"/>
    <x v="15"/>
    <x v="21"/>
    <n v="34401"/>
    <n v="25207"/>
    <n v="9194"/>
    <n v="0.26725967268393402"/>
  </r>
  <r>
    <x v="0"/>
    <x v="15"/>
    <x v="22"/>
    <n v="7384"/>
    <n v="3365"/>
    <n v="4019"/>
    <n v="0.54428494041170095"/>
  </r>
  <r>
    <x v="0"/>
    <x v="16"/>
    <x v="0"/>
    <n v="8340"/>
    <n v="8961"/>
    <n v="-621"/>
    <n v="-7.4460431654676307E-2"/>
  </r>
  <r>
    <x v="1"/>
    <x v="16"/>
    <x v="1"/>
    <n v="771610"/>
    <n v="290139"/>
    <n v="481471"/>
    <n v="0.62398232267596299"/>
  </r>
  <r>
    <x v="1"/>
    <x v="16"/>
    <x v="2"/>
    <n v="18110"/>
    <n v="14315"/>
    <n v="3795"/>
    <n v="0.20955273329652099"/>
  </r>
  <r>
    <x v="0"/>
    <x v="16"/>
    <x v="3"/>
    <n v="21812"/>
    <n v="16763"/>
    <n v="5049"/>
    <n v="0.231478085457546"/>
  </r>
  <r>
    <x v="0"/>
    <x v="16"/>
    <x v="4"/>
    <n v="155395"/>
    <n v="105540"/>
    <n v="49855"/>
    <n v="0.32082756845458399"/>
  </r>
  <r>
    <x v="0"/>
    <x v="16"/>
    <x v="5"/>
    <n v="63754"/>
    <n v="40201"/>
    <n v="23553"/>
    <n v="0.369435643253757"/>
  </r>
  <r>
    <x v="0"/>
    <x v="16"/>
    <x v="6"/>
    <n v="240050"/>
    <n v="157024"/>
    <n v="83026"/>
    <n v="0.34586961049781301"/>
  </r>
  <r>
    <x v="0"/>
    <x v="16"/>
    <x v="7"/>
    <n v="92660"/>
    <n v="71615"/>
    <n v="21045"/>
    <n v="0.227120656162314"/>
  </r>
  <r>
    <x v="1"/>
    <x v="16"/>
    <x v="8"/>
    <n v="306497"/>
    <n v="146548"/>
    <n v="159949"/>
    <n v="0.521861551662822"/>
  </r>
  <r>
    <x v="0"/>
    <x v="16"/>
    <x v="9"/>
    <n v="42290"/>
    <n v="29932"/>
    <n v="12358"/>
    <n v="0.292220383069284"/>
  </r>
  <r>
    <x v="0"/>
    <x v="16"/>
    <x v="10"/>
    <n v="37969"/>
    <n v="37239"/>
    <n v="730"/>
    <n v="1.92262108562248E-2"/>
  </r>
  <r>
    <x v="1"/>
    <x v="16"/>
    <x v="11"/>
    <n v="12957"/>
    <n v="6124"/>
    <n v="6833"/>
    <n v="0.52735972833217604"/>
  </r>
  <r>
    <x v="1"/>
    <x v="16"/>
    <x v="12"/>
    <n v="31828"/>
    <n v="22886"/>
    <n v="8942"/>
    <n v="0.28094759331406299"/>
  </r>
  <r>
    <x v="0"/>
    <x v="16"/>
    <x v="13"/>
    <n v="23659"/>
    <n v="16763"/>
    <n v="6896"/>
    <n v="0.29147470307282602"/>
  </r>
  <r>
    <x v="1"/>
    <x v="16"/>
    <x v="14"/>
    <n v="210156"/>
    <n v="103052"/>
    <n v="107104"/>
    <n v="0.50964045756485699"/>
  </r>
  <r>
    <x v="0"/>
    <x v="16"/>
    <x v="15"/>
    <n v="164260"/>
    <n v="135393"/>
    <n v="28867"/>
    <n v="0.175739680993547"/>
  </r>
  <r>
    <x v="0"/>
    <x v="16"/>
    <x v="16"/>
    <n v="3588"/>
    <n v="2917"/>
    <n v="671"/>
    <n v="0.18701226309922001"/>
  </r>
  <r>
    <x v="0"/>
    <x v="16"/>
    <x v="17"/>
    <n v="20500"/>
    <n v="15356"/>
    <n v="5144"/>
    <n v="0.25092682926829302"/>
  </r>
  <r>
    <x v="0"/>
    <x v="16"/>
    <x v="18"/>
    <n v="337966"/>
    <n v="194913"/>
    <n v="143053"/>
    <n v="0.42327630590059401"/>
  </r>
  <r>
    <x v="1"/>
    <x v="16"/>
    <x v="19"/>
    <n v="373863"/>
    <n v="238906"/>
    <n v="134957"/>
    <n v="0.36097982416018698"/>
  </r>
  <r>
    <x v="0"/>
    <x v="16"/>
    <x v="20"/>
    <n v="65432"/>
    <n v="54532"/>
    <n v="10900"/>
    <n v="0.16658515710967101"/>
  </r>
  <r>
    <x v="0"/>
    <x v="16"/>
    <x v="21"/>
    <n v="30372"/>
    <n v="26126"/>
    <n v="4246"/>
    <n v="0.13979981561964999"/>
  </r>
  <r>
    <x v="0"/>
    <x v="16"/>
    <x v="22"/>
    <n v="7545"/>
    <n v="3396"/>
    <n v="4149"/>
    <n v="0.54990059642147104"/>
  </r>
  <r>
    <x v="0"/>
    <x v="17"/>
    <x v="0"/>
    <n v="9425"/>
    <n v="9195"/>
    <n v="230"/>
    <n v="2.4403183023872701E-2"/>
  </r>
  <r>
    <x v="1"/>
    <x v="17"/>
    <x v="1"/>
    <n v="857159"/>
    <n v="312966"/>
    <n v="544193"/>
    <n v="0.63487987642899402"/>
  </r>
  <r>
    <x v="1"/>
    <x v="17"/>
    <x v="2"/>
    <n v="20077"/>
    <n v="15112"/>
    <n v="4965"/>
    <n v="0.24729790307316801"/>
  </r>
  <r>
    <x v="0"/>
    <x v="17"/>
    <x v="3"/>
    <n v="25000"/>
    <n v="18114"/>
    <n v="6886"/>
    <n v="0.27544000000000002"/>
  </r>
  <r>
    <x v="0"/>
    <x v="17"/>
    <x v="4"/>
    <n v="179958"/>
    <n v="107252"/>
    <n v="72706"/>
    <n v="0.40401649273719398"/>
  </r>
  <r>
    <x v="0"/>
    <x v="17"/>
    <x v="5"/>
    <n v="70179"/>
    <n v="40466"/>
    <n v="29713"/>
    <n v="0.423388763020277"/>
  </r>
  <r>
    <x v="0"/>
    <x v="17"/>
    <x v="6"/>
    <n v="270832"/>
    <n v="167278"/>
    <n v="103554"/>
    <n v="0.38235511313286502"/>
  </r>
  <r>
    <x v="0"/>
    <x v="17"/>
    <x v="7"/>
    <n v="102630"/>
    <n v="78345"/>
    <n v="24285"/>
    <n v="0.236626717334113"/>
  </r>
  <r>
    <x v="1"/>
    <x v="17"/>
    <x v="8"/>
    <n v="358278"/>
    <n v="156125"/>
    <n v="202153"/>
    <n v="0.56423503536359998"/>
  </r>
  <r>
    <x v="0"/>
    <x v="17"/>
    <x v="9"/>
    <n v="47148"/>
    <n v="31834"/>
    <n v="15314"/>
    <n v="0.32480699075252401"/>
  </r>
  <r>
    <x v="0"/>
    <x v="17"/>
    <x v="10"/>
    <n v="38965"/>
    <n v="26931"/>
    <n v="12034"/>
    <n v="0.30884126780443999"/>
  </r>
  <r>
    <x v="1"/>
    <x v="17"/>
    <x v="11"/>
    <n v="14326"/>
    <n v="7197"/>
    <n v="7129"/>
    <n v="0.497626692726511"/>
  </r>
  <r>
    <x v="1"/>
    <x v="17"/>
    <x v="12"/>
    <n v="35644"/>
    <n v="23883"/>
    <n v="11761"/>
    <n v="0.32995735607675902"/>
  </r>
  <r>
    <x v="0"/>
    <x v="17"/>
    <x v="13"/>
    <n v="28793"/>
    <n v="18114"/>
    <n v="10679"/>
    <n v="0.37088875768415902"/>
  </r>
  <r>
    <x v="1"/>
    <x v="17"/>
    <x v="14"/>
    <n v="237065"/>
    <n v="103783"/>
    <n v="133282"/>
    <n v="0.562217113449898"/>
  </r>
  <r>
    <x v="0"/>
    <x v="17"/>
    <x v="15"/>
    <n v="191764"/>
    <n v="138957"/>
    <n v="52807"/>
    <n v="0.27537494003045399"/>
  </r>
  <r>
    <x v="0"/>
    <x v="17"/>
    <x v="16"/>
    <n v="4641"/>
    <n v="2935"/>
    <n v="1706"/>
    <n v="0.36759319112260302"/>
  </r>
  <r>
    <x v="0"/>
    <x v="17"/>
    <x v="17"/>
    <n v="23634"/>
    <n v="15095"/>
    <n v="8539"/>
    <n v="0.36130151476686101"/>
  </r>
  <r>
    <x v="0"/>
    <x v="17"/>
    <x v="18"/>
    <n v="378667"/>
    <n v="220473"/>
    <n v="158194"/>
    <n v="0.417765477319122"/>
  </r>
  <r>
    <x v="1"/>
    <x v="17"/>
    <x v="19"/>
    <n v="398262"/>
    <n v="244847"/>
    <n v="153415"/>
    <n v="0.38521124285018399"/>
  </r>
  <r>
    <x v="0"/>
    <x v="17"/>
    <x v="20"/>
    <n v="62792"/>
    <n v="57353"/>
    <n v="5439"/>
    <n v="8.6619314562364602E-2"/>
  </r>
  <r>
    <x v="0"/>
    <x v="17"/>
    <x v="21"/>
    <n v="34648"/>
    <n v="28315"/>
    <n v="6333"/>
    <n v="0.18278111290695001"/>
  </r>
  <r>
    <x v="0"/>
    <x v="17"/>
    <x v="22"/>
    <n v="10180"/>
    <n v="4585"/>
    <n v="5595"/>
    <n v="0.549607072691551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ela dinâ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">
  <location ref="A4:E24" firstHeaderRow="0" firstDataRow="1" firstDataCol="1"/>
  <pivotFields count="10">
    <pivotField multipleItemSelectionAllowed="1" showAll="0">
      <items count="3">
        <item x="1"/>
        <item h="1" x="0"/>
        <item t="default"/>
      </items>
    </pivotField>
    <pivotField axis="axisRow" numFmtId="17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multipleItemSelectionAllowed="1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numFmtId="3" showAll="0"/>
    <pivotField dataField="1" numFmtId="3" showAll="0"/>
    <pivotField dataField="1" numFmtId="3" showAll="0"/>
    <pivotField numFmtId="10"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x="1"/>
        <item x="2"/>
        <item sd="0" x="3"/>
      </items>
    </pivotField>
    <pivotField dataField="1" dragToRow="0" dragToCol="0" dragToPage="0" showAll="0" defaultSubtotal="0"/>
  </pivotFields>
  <rowFields count="2">
    <field x="8"/>
    <field x="1"/>
  </rowFields>
  <rowItems count="20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a de Vol. Disponibilizado - VD (m³)" fld="3" baseField="1" baseItem="11" numFmtId="3"/>
    <dataField name="Soma de Vol. Consumido - VF (m³)" fld="4" baseField="1" baseItem="11" numFmtId="3"/>
    <dataField name="Soma de NRW (m³)" fld="5" baseField="1" baseItem="11" numFmtId="3"/>
    <dataField name="Soma de SOMA NRW (%)" fld="9" baseField="1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ONAL" xr10:uid="{00000000-0013-0000-FFFF-FFFF01000000}" sourceName="REGIONAL">
  <pivotTables>
    <pivotTable tabId="3" name="Tabela dinâmica1"/>
  </pivotTables>
  <data>
    <tabular pivotCacheId="1">
      <items count="2">
        <i x="1" s="1"/>
        <i x="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IDADE" xr10:uid="{00000000-0013-0000-FFFF-FFFF02000000}" sourceName="CIDADE">
  <pivotTables>
    <pivotTable tabId="3" name="Tabela dinâmica1"/>
  </pivotTables>
  <data>
    <tabular pivotCacheId="1">
      <items count="23">
        <i x="1" s="1"/>
        <i x="2" s="1"/>
        <i x="8" s="1"/>
        <i x="11" s="1"/>
        <i x="12" s="1"/>
        <i x="14" s="1"/>
        <i x="19" s="1"/>
        <i x="0" s="1" nd="1"/>
        <i x="3" s="1" nd="1"/>
        <i x="4" s="1" nd="1"/>
        <i x="5" s="1" nd="1"/>
        <i x="6" s="1" nd="1"/>
        <i x="7" s="1" nd="1"/>
        <i x="9" s="1" nd="1"/>
        <i x="10" s="1" nd="1"/>
        <i x="13" s="1" nd="1"/>
        <i x="15" s="1" nd="1"/>
        <i x="16" s="1" nd="1"/>
        <i x="17" s="1" nd="1"/>
        <i x="18" s="1" nd="1"/>
        <i x="20" s="1" nd="1"/>
        <i x="21" s="1" nd="1"/>
        <i x="22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s" xr10:uid="{00000000-0013-0000-FFFF-FFFF03000000}" sourceName="Anos">
  <pivotTables>
    <pivotTable tabId="3" name="Tabela dinâmica1"/>
  </pivotTables>
  <data>
    <tabular pivotCacheId="1">
      <items count="4">
        <i x="1" s="1"/>
        <i x="2" s="1"/>
        <i x="0" s="1" nd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AL" xr10:uid="{00000000-0014-0000-FFFF-FFFF01000000}" cache="SegmentaçãodeDados_REGIONAL" caption="REGIONAL" rowHeight="241300"/>
  <slicer name="CIDADE" xr10:uid="{00000000-0014-0000-FFFF-FFFF02000000}" cache="SegmentaçãodeDados_CIDADE" caption="CIDADE" rowHeight="241300"/>
  <slicer name="Anos" xr10:uid="{00000000-0014-0000-FFFF-FFFF03000000}" cache="SegmentaçãodeDados_Anos" caption="Anos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1" displayName="Tabela1" ref="A1:G415" totalsRowShown="0">
  <autoFilter ref="A1:G415" xr:uid="{00000000-0009-0000-0100-000002000000}"/>
  <sortState xmlns:xlrd2="http://schemas.microsoft.com/office/spreadsheetml/2017/richdata2" ref="A3:G412">
    <sortCondition descending="1" ref="B1:B415"/>
  </sortState>
  <tableColumns count="7">
    <tableColumn id="55" xr3:uid="{00000000-0010-0000-0000-000037000000}" name="REGIONAL" dataDxfId="143"/>
    <tableColumn id="56" xr3:uid="{00000000-0010-0000-0000-000038000000}" name="mês" dataDxfId="142"/>
    <tableColumn id="57" xr3:uid="{00000000-0010-0000-0000-000039000000}" name="CIDADE" dataDxfId="141"/>
    <tableColumn id="58" xr3:uid="{00000000-0010-0000-0000-00003A000000}" name="Vol. Disponibilizado - VD (m³)" dataDxfId="140"/>
    <tableColumn id="59" xr3:uid="{00000000-0010-0000-0000-00003B000000}" name="Vol. Consumido - VF (m³)" dataDxfId="139"/>
    <tableColumn id="60" xr3:uid="{00000000-0010-0000-0000-00003C000000}" name="NRW (m³)" dataDxfId="138"/>
    <tableColumn id="61" xr3:uid="{00000000-0010-0000-0000-00003D000000}" name="NRW (%)" dataDxfId="137" dataCellStyle="Porcentagem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565CDAD4-39EA-40AF-8837-319254D37993}" name="Tabela_Antiga" displayName="Tabela_Antiga" ref="A1:E415" totalsRowShown="0">
  <autoFilter ref="A1:E415" xr:uid="{565CDAD4-39EA-40AF-8837-319254D37993}"/>
  <sortState xmlns:xlrd2="http://schemas.microsoft.com/office/spreadsheetml/2017/richdata2" ref="A2:E415">
    <sortCondition ref="C1:C415"/>
  </sortState>
  <tableColumns count="5">
    <tableColumn id="1" xr3:uid="{683EFEE1-132A-44F1-9007-C22806BA503E}" name="Regional" dataDxfId="136"/>
    <tableColumn id="2" xr3:uid="{BDF5C66D-843B-496D-90F7-3029FEF8411D}" name="Mês" dataDxfId="135"/>
    <tableColumn id="3" xr3:uid="{EF02A430-73A3-4570-A879-1D8430FB6741}" name="Cidade" dataDxfId="134"/>
    <tableColumn id="4" xr3:uid="{3B35F430-9863-4551-AB14-8A828DC7F953}" name="VD - Volume Disponibilizado (m³)"/>
    <tableColumn id="5" xr3:uid="{CC132453-088B-45D4-A4B0-A9EDAD8E4EBD}" name="VC - Volume Consumido (m³)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788C1B5-ECC4-4AFA-A0E4-323C96C3DF3C}" name="Dados_Regionais_G5" displayName="Dados_Regionais_G5" ref="B1:J62" totalsRowShown="0" headerRowDxfId="133" dataDxfId="132">
  <autoFilter ref="B1:J62" xr:uid="{8788C1B5-ECC4-4AFA-A0E4-323C96C3DF3C}"/>
  <sortState xmlns:xlrd2="http://schemas.microsoft.com/office/spreadsheetml/2017/richdata2" ref="B2:J62">
    <sortCondition ref="G1:G62"/>
  </sortState>
  <tableColumns count="9">
    <tableColumn id="1" xr3:uid="{6EF8CC08-C790-458E-89D6-2A032FD8C8C4}" name="Macrorregião" dataDxfId="131"/>
    <tableColumn id="2" xr3:uid="{3DBCA7F0-9841-46FF-A2BB-A31328785BC2}" name="US_acentuados" dataDxfId="130"/>
    <tableColumn id="3" xr3:uid="{664D4341-871D-43D9-8D0F-B347E800A2C4}" name="Microregião" dataDxfId="129"/>
    <tableColumn id="4" xr3:uid="{E35BC5E1-BA32-49B5-8E93-02E9BDBA02A6}" name="Km rede" dataDxfId="128" dataCellStyle="Vírgula"/>
    <tableColumn id="6" xr3:uid="{B46F21FC-7E7B-424A-9DDB-EC76536E7CC3}" name="Cidades_juntas" dataDxfId="127">
      <calculatedColumnFormula>SUBSTITUTE(C2, " ", "")</calculatedColumnFormula>
    </tableColumn>
    <tableColumn id="5" xr3:uid="{9EA4A0D7-245B-47B3-B78C-4452942536C2}" name="US_Maiusculas" dataDxfId="126"/>
    <tableColumn id="7" xr3:uid="{845AA290-5155-445E-94E4-B5A9787012F5}" name="DIRETORIA" dataDxfId="125"/>
    <tableColumn id="8" xr3:uid="{AF853FA3-A293-41BF-841B-5A37CAC30544}" name="Superintendência" dataDxfId="124"/>
    <tableColumn id="10" xr3:uid="{60162CCC-D01A-49B4-9274-9EB163F22240}" name="COD_US_PLANJ" dataDxfId="1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B458B08-750F-48ED-B321-75668D65414F}" name="DIRETORIAS_SUPERINTENDENCIAS" displayName="DIRETORIAS_SUPERINTENDENCIAS" ref="L1:N11" totalsRowShown="0">
  <autoFilter ref="L1:N11" xr:uid="{AB458B08-750F-48ED-B321-75668D65414F}">
    <filterColumn colId="0" hiddenButton="1"/>
    <filterColumn colId="1" hiddenButton="1"/>
    <filterColumn colId="2" hiddenButton="1"/>
  </autoFilter>
  <sortState xmlns:xlrd2="http://schemas.microsoft.com/office/spreadsheetml/2017/richdata2" ref="L2:N11">
    <sortCondition ref="M1:M11"/>
  </sortState>
  <tableColumns count="3">
    <tableColumn id="3" xr3:uid="{F03B438F-1269-439A-9C02-03C95876D866}" name="COD-DIRETORIA"/>
    <tableColumn id="1" xr3:uid="{BC036FC7-9240-4DCB-AD02-0205CDF4630F}" name="Diretoria"/>
    <tableColumn id="2" xr3:uid="{B3AB3AFF-975B-4E4A-AA16-67FB2DA4F6FA}" name="Superintendência" dataDxfId="12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4E9203F2-D1FB-4435-8CBD-9FB1EECDEA53}" name="US_TODAS_REGIONAIS" displayName="US_TODAS_REGIONAIS" ref="P1:S317" totalsRowShown="0" headerRowDxfId="121" dataDxfId="119" headerRowBorderDxfId="120" tableBorderDxfId="118" totalsRowBorderDxfId="117">
  <autoFilter ref="P1:S317" xr:uid="{4E9203F2-D1FB-4435-8CBD-9FB1EECDEA53}"/>
  <sortState xmlns:xlrd2="http://schemas.microsoft.com/office/spreadsheetml/2017/richdata2" ref="P2:S317">
    <sortCondition ref="Q1:Q317"/>
  </sortState>
  <tableColumns count="4">
    <tableColumn id="4" xr3:uid="{4831D618-00AD-42B2-8183-066AC1B7A47E}" name="COD-US" dataDxfId="116"/>
    <tableColumn id="1" xr3:uid="{E11FBC09-6643-42C4-8F40-26650BEF3371}" name="Diretoria" dataDxfId="115"/>
    <tableColumn id="2" xr3:uid="{76B08140-8FEF-4BF0-AB17-95668C074D11}" name="US" dataDxfId="114"/>
    <tableColumn id="3" xr3:uid="{7E142F52-63AB-44D5-A2CD-AA27E4E036D8}" name="US_MAIUSCULO" dataDxfId="1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4CB97E0-E8B6-4B83-909A-FF37D29F2A15}" name="Pontos_Esg" displayName="Pontos_Esg" ref="U1:V28" totalsRowShown="0" headerRowDxfId="112" dataDxfId="111">
  <autoFilter ref="U1:V28" xr:uid="{F4CB97E0-E8B6-4B83-909A-FF37D29F2A15}"/>
  <tableColumns count="2">
    <tableColumn id="1" xr3:uid="{6142EDED-9561-4719-AFA8-91BE824B0C45}" name="Ident. Componente" dataDxfId="110"/>
    <tableColumn id="2" xr3:uid="{D6701AC9-46D7-4EB9-A605-1F08079BF037}" name="US" dataDxfId="109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D9A23A5-D761-4355-9D8C-7F5B7C3698CE}" name="Dim_Colab" displayName="Dim_Colab" ref="B2:C21" totalsRowShown="0">
  <autoFilter ref="B2:C21" xr:uid="{AD9A23A5-D761-4355-9D8C-7F5B7C3698CE}">
    <filterColumn colId="0" hiddenButton="1"/>
    <filterColumn colId="1" hiddenButton="1"/>
  </autoFilter>
  <tableColumns count="2">
    <tableColumn id="4" xr3:uid="{E978B586-C06B-4280-8414-DE286690AB93}" name="IDColaborador" dataDxfId="108">
      <calculatedColumnFormula>ROW(Dim_Colab[[#This Row],[Colaboradores]])-2</calculatedColumnFormula>
    </tableColumn>
    <tableColumn id="1" xr3:uid="{229E3AB6-F60E-422E-A4C6-532079D43D2E}" name="Colaboradores" dataDxfId="10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D1E12257-05F4-4002-A444-0ED4644FE026}" name="UC_NOME" displayName="UC_NOME" ref="E2:F541" totalsRowShown="0" headerRowBorderDxfId="106" tableBorderDxfId="105">
  <autoFilter ref="E2:F541" xr:uid="{D1E12257-05F4-4002-A444-0ED4644FE026}"/>
  <tableColumns count="2">
    <tableColumn id="1" xr3:uid="{E6A045D0-498D-4ADE-BBC6-38A4BBFDF15C}" name="Código da Instalação" dataDxfId="104"/>
    <tableColumn id="2" xr3:uid="{DE9A417F-4FD7-4DCE-B16C-D99FD267A778}" name="Equipament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5DA17A89-D3E8-417E-AA35-E198AE8451EE}" name="ETAS_G5" displayName="ETAS_G5" ref="A2:D27" totalsRowShown="0" headerRowBorderDxfId="103" tableBorderDxfId="102" totalsRowBorderDxfId="101">
  <autoFilter ref="A2:D27" xr:uid="{5DA17A89-D3E8-417E-AA35-E198AE8451EE}"/>
  <tableColumns count="4">
    <tableColumn id="4" xr3:uid="{2D50E87F-E5B4-4910-AAF8-CB5B5963D404}" name="COD_Fatura" dataDxfId="100"/>
    <tableColumn id="1" xr3:uid="{DD915721-5638-4F68-A019-3CEE95D83146}" name="Regional" dataDxfId="99"/>
    <tableColumn id="2" xr3:uid="{27EBFF1C-0195-49B6-8BF3-84A2F3097570}" name="US" dataDxfId="98"/>
    <tableColumn id="3" xr3:uid="{C1AA8DA1-478D-4DF6-BC29-C3F7AA8BC0C3}" name="ETA" dataDxfId="9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7BAC946-83E8-4D37-B1C3-44803B2F9F92}" name="POCOS_G5" displayName="POCOS_G5" ref="F2:H303" totalsRowShown="0">
  <autoFilter ref="F2:H303" xr:uid="{A7BAC946-83E8-4D37-B1C3-44803B2F9F92}"/>
  <sortState xmlns:xlrd2="http://schemas.microsoft.com/office/spreadsheetml/2017/richdata2" ref="F3:H53">
    <sortCondition ref="G2:G53"/>
  </sortState>
  <tableColumns count="3">
    <tableColumn id="1" xr3:uid="{9E6AD114-C9BC-46DB-AA85-602560E1E12E}" name="POCOS"/>
    <tableColumn id="2" xr3:uid="{72D09D1D-1C71-46FB-A8BF-CB826BAEB307}" name="US_acentuados"/>
    <tableColumn id="3" xr3:uid="{93179A4C-51CB-49A0-86FD-E84B0558012C}" name="US_Maiusculas" dataDxfId="96">
      <calculatedColumnFormula>_xlfn.XLOOKUP(POCOS_G5[[#This Row],[US_acentuados]],Dados_Regionais_G5[US_acentuados],Dados_Regionais_G5[US_Maiusculas])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00B1973-09E1-4C1A-A089-9794F872E9A5}" name="POCOS" displayName="POCOS" ref="J2:N63" totalsRowShown="0">
  <autoFilter ref="J2:N63" xr:uid="{900B1973-09E1-4C1A-A089-9794F872E9A5}"/>
  <sortState xmlns:xlrd2="http://schemas.microsoft.com/office/spreadsheetml/2017/richdata2" ref="J3:M63">
    <sortCondition ref="K2:K63"/>
  </sortState>
  <tableColumns count="5">
    <tableColumn id="4" xr3:uid="{4A6A4432-51A0-4128-B01F-B5D1DC956FD9}" name="COD"/>
    <tableColumn id="1" xr3:uid="{0D3A7142-B952-4EDF-A8E6-DB0CB9267A9C}" name="UNIDADE"/>
    <tableColumn id="5" xr3:uid="{F099F1B2-ACE3-4DF4-B5D3-E00A1AB81381}" name="TIPO"/>
    <tableColumn id="3" xr3:uid="{ACA18B86-0A2D-4661-A2E4-84A0C26CA435}" name="US_Maiusculas" dataDxfId="95"/>
    <tableColumn id="2" xr3:uid="{61B32DA4-C3EB-4668-A91D-C5D4191576C3}" name="COD. Ext." dataDxfId="9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5BF8CCD6-1532-48EE-A01D-DE4E2027667D}" name="Tabela35" displayName="Tabela35" ref="B2:E220" totalsRowShown="0">
  <autoFilter ref="B2:E220" xr:uid="{5BF8CCD6-1532-48EE-A01D-DE4E2027667D}"/>
  <tableColumns count="4">
    <tableColumn id="1" xr3:uid="{B4017F21-22CE-4C73-BF41-8D8A10779FB8}" name="CODIGO_REPET." dataDxfId="93"/>
    <tableColumn id="5" xr3:uid="{238B9736-70D8-47E5-97FA-5F0BA6C03CFD}" name="TIPO" dataDxfId="92"/>
    <tableColumn id="6" xr3:uid="{E4A30D66-3401-4B00-B7BE-713E6DB7D9E4}" name="EQP_UNICO" dataDxfId="91"/>
    <tableColumn id="3" xr3:uid="{DE082F84-1F17-4E06-8578-5B23C10A6C40}" name="VOLUME_CONSIDERADO" dataDxfId="9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489D344-180F-4C48-A86D-55D156574264}" name="Metas_mensais" displayName="Metas_mensais" ref="A1:C847" totalsRowShown="0">
  <autoFilter ref="A1:C847" xr:uid="{1489D344-180F-4C48-A86D-55D156574264}"/>
  <tableColumns count="3">
    <tableColumn id="1" xr3:uid="{630A693F-4899-4451-BDE5-3ABF0E214F8C}" name="Tipo" dataDxfId="89"/>
    <tableColumn id="2" xr3:uid="{D6E83A9F-BB08-4B80-864E-DAFD91E125DD}" name="Data" dataDxfId="88"/>
    <tableColumn id="3" xr3:uid="{BE8ED216-0EE1-496F-A24B-ED4B4718AE07}" name="Meta" dataDxfId="87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4E3770A-CE22-48DA-9AE4-40C4E9500D99}" name="SURFRO_mesclada" displayName="SURFRO_mesclada" ref="A1:E78" totalsRowShown="0">
  <autoFilter ref="A1:E78" xr:uid="{54E3770A-CE22-48DA-9AE4-40C4E9500D99}"/>
  <tableColumns count="5">
    <tableColumn id="1" xr3:uid="{7DA5C7FB-F6BF-4315-A54C-21CD48D0C51F}" name="Regional" dataDxfId="86"/>
    <tableColumn id="2" xr3:uid="{F141280B-0C03-468A-B524-7422A31E952A}" name="Mês" dataDxfId="85"/>
    <tableColumn id="3" xr3:uid="{695917D9-877E-4636-B3D7-83A3CEF898F0}" name="Cidade" dataDxfId="84"/>
    <tableColumn id="4" xr3:uid="{C2C0D2B7-ECD7-451C-9B43-A0FD5447F54E}" name="VD - Volume Disponibilizado (m³)"/>
    <tableColumn id="5" xr3:uid="{C8189F58-98C4-4DC8-94CC-A8FF1444425E}" name="AG010 - VC - Volume Consumido (m³)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680C19A-7686-4B40-90C4-BDA594A04AD4}" name="SURPRA_mesclada" displayName="SURPRA_mesclada" ref="A1:E177" totalsRowShown="0">
  <autoFilter ref="A1:E177" xr:uid="{3680C19A-7686-4B40-90C4-BDA594A04AD4}"/>
  <tableColumns count="5">
    <tableColumn id="1" xr3:uid="{A378F1FD-8D67-4795-8172-FD9E26F98BAE}" name="Regional" dataDxfId="83"/>
    <tableColumn id="3" xr3:uid="{6C6F311A-6B52-4FEC-8A92-1275C4C6A991}" name="Cidade"/>
    <tableColumn id="2" xr3:uid="{76F6820C-E1D7-4BA1-AB4A-1FEF72F28355}" name="Mês" dataDxfId="82"/>
    <tableColumn id="4" xr3:uid="{7DE1B584-FE92-4218-AF9E-F84899FC4091}" name="VD - Volume Disponibilizado (m³)"/>
    <tableColumn id="5" xr3:uid="{D20A4E92-F969-4B3D-9B92-4333583D27A1}" name="AG010 - VC - Volume Consumido (m³)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F841198-B4B6-4E5C-BD80-281138C210ED}" name="Santa_margarida_do_sul" displayName="Santa_margarida_do_sul" ref="A1:E12" totalsRowShown="0">
  <autoFilter ref="A1:E12" xr:uid="{DF841198-B4B6-4E5C-BD80-281138C210ED}"/>
  <tableColumns count="5">
    <tableColumn id="1" xr3:uid="{A75DE7F4-0C99-4043-A3C6-A94844197BF5}" name="Regional" dataDxfId="81"/>
    <tableColumn id="2" xr3:uid="{44AFC13A-3A59-4B04-B13E-B98D19A89A8B}" name="Mês" dataDxfId="80"/>
    <tableColumn id="3" xr3:uid="{CA1EFB51-1832-4714-80FC-14BACCCA4F23}" name="Cidade" dataDxfId="79"/>
    <tableColumn id="4" xr3:uid="{5E364D52-29AD-4139-919F-B01F333C173D}" name="VD - Volume Disponibilizado (m³)"/>
    <tableColumn id="5" xr3:uid="{6E90A6C5-A165-4F08-9B59-C43533AFAB53}" name="AG010 - VC - Volume Consumido (m³)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A1D5936-44AB-43CB-AF3D-2961A1EF43EE}" name="Unistalda" displayName="Unistalda" ref="A1:E12" totalsRowShown="0">
  <autoFilter ref="A1:E12" xr:uid="{AA1D5936-44AB-43CB-AF3D-2961A1EF43EE}"/>
  <tableColumns count="5">
    <tableColumn id="1" xr3:uid="{A7EF81CE-B7F7-465B-866F-05F59668B619}" name="Regional" dataDxfId="78"/>
    <tableColumn id="2" xr3:uid="{C698B51C-54E0-4C03-8AFD-7CBF9F97E1F6}" name="Mês" dataDxfId="77"/>
    <tableColumn id="3" xr3:uid="{FE03AC2D-827A-4BB6-89CC-07E5A62D9284}" name="Cidade" dataDxfId="76"/>
    <tableColumn id="4" xr3:uid="{E4415880-9438-4EEA-8A2F-CAB08AD6103E}" name="VD - Volume Disponibilizado (m³)"/>
    <tableColumn id="5" xr3:uid="{06B82F11-FFA1-414E-9ED7-9B57042BD527}" name="AG010 - VC - Volume Consumido (m³)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0D015EC-0B9E-4F7E-9F7D-FCC5EC542ED2}" name="Nova_esperança_do_sul" displayName="Nova_esperança_do_sul" ref="A1:E12" totalsRowShown="0">
  <autoFilter ref="A1:E12" xr:uid="{90D015EC-0B9E-4F7E-9F7D-FCC5EC542ED2}"/>
  <tableColumns count="5">
    <tableColumn id="1" xr3:uid="{DAFF4598-7B57-43C6-B9A2-5E992A96C76E}" name="Regional" dataDxfId="75"/>
    <tableColumn id="2" xr3:uid="{1EBD49D6-C6E8-47FC-BB73-AE6D0A8A34EA}" name="Mês" dataDxfId="74"/>
    <tableColumn id="3" xr3:uid="{DE649311-C1E9-457D-BE6C-F684ABBBD4EB}" name="Cidade" dataDxfId="73"/>
    <tableColumn id="4" xr3:uid="{83DA4377-0C39-439C-91E2-A4857F941B7A}" name="VD - Volume Disponibilizado (m³)"/>
    <tableColumn id="5" xr3:uid="{A693D114-5AA8-4282-9A9B-374BF994AC94}" name="AG010 - VC - Volume Consumido (m³)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EFD963D-BC62-4BF8-9425-433028C4AC7F}" name="Aceguá" displayName="Aceguá" ref="A1:E12" totalsRowShown="0">
  <autoFilter ref="A1:E12" xr:uid="{BEFD963D-BC62-4BF8-9425-433028C4AC7F}"/>
  <tableColumns count="5">
    <tableColumn id="1" xr3:uid="{42F05252-5418-4990-99A7-32F1A73CD4B0}" name="Regional" dataDxfId="72"/>
    <tableColumn id="2" xr3:uid="{D4AA3C89-25FB-4909-8370-C38B6ABA89CD}" name="Mês" dataDxfId="71"/>
    <tableColumn id="3" xr3:uid="{43F4D1E8-9AC0-42E5-88B2-DE43A59CEC73}" name="Cidade" dataDxfId="70"/>
    <tableColumn id="4" xr3:uid="{030B0C14-34C1-4979-98CF-0D4B7FB6759F}" name="VD - Volume Disponibilizado (m³)"/>
    <tableColumn id="5" xr3:uid="{1963F5EB-12B6-4B0A-8549-9D0B7462F965}" name="AG010 - VC - Volume Consumido (m³)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9C65AD9-7DF4-43FD-8706-B069E377B676}" name="São_vincente_do_sul" displayName="São_vincente_do_sul" ref="A1:E12" totalsRowShown="0">
  <autoFilter ref="A1:E12" xr:uid="{C9C65AD9-7DF4-43FD-8706-B069E377B676}"/>
  <tableColumns count="5">
    <tableColumn id="1" xr3:uid="{F3A8AAE1-F6B4-489C-B1A1-8FAC86CA2FDA}" name="Regional" dataDxfId="69"/>
    <tableColumn id="2" xr3:uid="{0CEAEA58-FA41-46AA-857D-C887D8CB18E6}" name="Mês" dataDxfId="68"/>
    <tableColumn id="3" xr3:uid="{D5AB7C94-61EC-45CC-BD46-3173F5EC5E09}" name="Cidade" dataDxfId="67"/>
    <tableColumn id="4" xr3:uid="{71CA6840-5A0C-48FB-BB8E-8D288D834AF7}" name="VD - Volume Disponibilizado (m³)"/>
    <tableColumn id="5" xr3:uid="{5207EE0D-1AEE-4BA8-948B-24EC466B7F2F}" name="AG010 - VC - Volume Consumido (m³)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3ED431B-3477-4A7D-8F8F-A2CBC7F28457}" name="São_francisco_de_assis" displayName="São_francisco_de_assis" ref="A1:E12" totalsRowShown="0">
  <autoFilter ref="A1:E12" xr:uid="{43ED431B-3477-4A7D-8F8F-A2CBC7F28457}"/>
  <tableColumns count="5">
    <tableColumn id="1" xr3:uid="{181F631F-8A07-443D-8948-3D8C87A5ECC6}" name="Regional" dataDxfId="66"/>
    <tableColumn id="2" xr3:uid="{C2DFA237-792A-44FB-B4C2-0A2AC305583F}" name="Mês" dataDxfId="65"/>
    <tableColumn id="3" xr3:uid="{14A04C5D-BC67-49A3-80B7-313424D5EA88}" name="Cidade" dataDxfId="64"/>
    <tableColumn id="4" xr3:uid="{46913998-B8C7-48BA-9CC2-B5BE686B953A}" name="VD - Volume Disponibilizado (m³)"/>
    <tableColumn id="5" xr3:uid="{1E2EFDE7-8695-4842-9DA7-50F691335E79}" name="AG010 - VC - Volume Consumido (m³)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D740453-E7E9-44E9-9CED-AC6520DC03A1}" name="Santiago" displayName="Santiago" ref="A1:E12" totalsRowShown="0">
  <autoFilter ref="A1:E12" xr:uid="{3D740453-E7E9-44E9-9CED-AC6520DC03A1}"/>
  <tableColumns count="5">
    <tableColumn id="1" xr3:uid="{905B0A08-336F-456F-A1EF-97EA72E7877B}" name="Regional" dataDxfId="63"/>
    <tableColumn id="2" xr3:uid="{37E0BC5C-BECD-47AA-976A-78FBDAF49E5F}" name="Mês" dataDxfId="62"/>
    <tableColumn id="3" xr3:uid="{D3806498-A699-4D2F-931A-7F2FCC17638B}" name="Cidade" dataDxfId="61"/>
    <tableColumn id="4" xr3:uid="{34A2DE47-B5BD-4482-A404-EBB8AFEE1CC1}" name="VD - Volume Disponibilizado (m³)"/>
    <tableColumn id="5" xr3:uid="{9E39696B-9957-4A7C-9DCA-EB18DA2C459E}" name="AG010 - VC - Volume Consumido (m³)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FC65284-D858-4B39-BCBA-18B24E7C2748}" name="Santada_da_boa_vista" displayName="Santada_da_boa_vista" ref="A1:E12" totalsRowShown="0">
  <autoFilter ref="A1:E12" xr:uid="{4FC65284-D858-4B39-BCBA-18B24E7C2748}"/>
  <tableColumns count="5">
    <tableColumn id="1" xr3:uid="{2631517A-B3CF-495F-ACDB-F277FB9D3609}" name="Regional" dataDxfId="60"/>
    <tableColumn id="2" xr3:uid="{40DDF1C0-8D84-4D30-B968-DF408A189D82}" name="Mês" dataDxfId="59"/>
    <tableColumn id="3" xr3:uid="{0C44E06D-27AA-4F9C-93D3-D169DE902D19}" name="Cidade" dataDxfId="58"/>
    <tableColumn id="4" xr3:uid="{1E86064A-3E61-4F80-BBE9-A39C531DB497}" name="VD - Volume Disponibilizado (m³)"/>
    <tableColumn id="5" xr3:uid="{3452B0F4-E89B-43F9-AEC4-4DB47F5DFCCF}" name="AG010 - VC - Volume Consumido (m³)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0914532-9FAA-45BA-9168-3BFCAFA8E323}" name="Rosário_do_sul" displayName="Rosário_do_sul" ref="A1:E12" totalsRowShown="0">
  <autoFilter ref="A1:E12" xr:uid="{90914532-9FAA-45BA-9168-3BFCAFA8E323}"/>
  <tableColumns count="5">
    <tableColumn id="1" xr3:uid="{8704D590-2B27-46F9-ABB4-97A0F518F4EC}" name="Regional" dataDxfId="57"/>
    <tableColumn id="2" xr3:uid="{279BFB38-DEE0-48DD-BDB7-E6C41EF45A7B}" name="Mês" dataDxfId="56"/>
    <tableColumn id="3" xr3:uid="{B7240333-1B43-426F-9306-AD82761A35C5}" name="Cidade" dataDxfId="55"/>
    <tableColumn id="4" xr3:uid="{A0B23BE1-63B9-4658-9CCE-E7B210FE784A}" name="VD - Volume Disponibilizado (m³)"/>
    <tableColumn id="5" xr3:uid="{BD95F87C-C57A-4B4A-8D9E-666F8BA27DA0}" name="AG010 - VC - Volume Consumido (m³)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A4AE98-7739-4C8E-BEBB-0250DF12C1BC}" name="Lavras_do_sul" displayName="Lavras_do_sul" ref="A1:E12" totalsRowShown="0">
  <autoFilter ref="A1:E12" xr:uid="{9EA4AE98-7739-4C8E-BEBB-0250DF12C1BC}"/>
  <tableColumns count="5">
    <tableColumn id="1" xr3:uid="{539D695F-2366-4DF6-A7F4-CBDC64C8218C}" name="Regional" dataDxfId="54"/>
    <tableColumn id="2" xr3:uid="{4126EC15-7706-41B0-98E0-C6072201CF0D}" name="Mês" dataDxfId="53"/>
    <tableColumn id="3" xr3:uid="{8F14EF51-70F3-4969-8818-3E87A8AB0D16}" name="Cidade" dataDxfId="52"/>
    <tableColumn id="4" xr3:uid="{05F43CA0-3225-4EED-A256-F6E3FED065C2}" name="VD - Volume Disponibilizado (m³)"/>
    <tableColumn id="5" xr3:uid="{090412C7-4BC6-4B27-9EED-5DF589046F25}" name="AG010 - VC - Volume Consumido (m³)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01E3B6B-4B34-44C2-9143-2DE4BACC8A6A}" name="Jaguari" displayName="Jaguari" ref="A1:E12" totalsRowShown="0">
  <autoFilter ref="A1:E12" xr:uid="{401E3B6B-4B34-44C2-9143-2DE4BACC8A6A}"/>
  <tableColumns count="5">
    <tableColumn id="1" xr3:uid="{8EBCC5FB-47BF-4E4D-89BE-CE0DA5B223B6}" name="Regional" dataDxfId="51"/>
    <tableColumn id="2" xr3:uid="{1B6D35C5-F3AC-4B3F-9C3E-EC94AC3A17C4}" name="Mês" dataDxfId="50"/>
    <tableColumn id="3" xr3:uid="{C51F4A36-C8CC-4943-9711-D8777AD34DEE}" name="Cidade" dataDxfId="49"/>
    <tableColumn id="4" xr3:uid="{2BD593C7-CA00-4C48-B99A-48256118CDA4}" name="VD - Volume Disponibilizado (m³)"/>
    <tableColumn id="5" xr3:uid="{BE35ABE1-F56B-438B-B619-87DA3529425B}" name="AG010 - VC - Volume Consumido (m³)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BD0C56B-C11D-46D9-9DE5-097DDCD4E9CC}" name="Encruzilhada_do_sul" displayName="Encruzilhada_do_sul" ref="A1:E12" totalsRowShown="0">
  <autoFilter ref="A1:E12" xr:uid="{1BD0C56B-C11D-46D9-9DE5-097DDCD4E9CC}"/>
  <tableColumns count="5">
    <tableColumn id="1" xr3:uid="{0D63CA22-315E-4E45-ABE6-3CF9B77796CE}" name="Regional" dataDxfId="48"/>
    <tableColumn id="2" xr3:uid="{0A0016A7-DCEB-4553-A389-B89F5A551EB1}" name="Mês" dataDxfId="47"/>
    <tableColumn id="3" xr3:uid="{B6EC0227-A14E-4BEA-B968-A8E232092700}" name="Cidade" dataDxfId="46"/>
    <tableColumn id="4" xr3:uid="{76A46B60-CC2B-44C3-8CE4-7D12C9D5D99B}" name="VD - Volume Disponibilizado (m³)"/>
    <tableColumn id="5" xr3:uid="{EA3FBB4F-F639-489D-8EA4-713EC1D19110}" name="AG010 - VC - Volume Consumido (m³)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2E2571B-B0B8-4FE2-998B-F9FA0CC3461C}" name="Dom_Pedrito" displayName="Dom_Pedrito" ref="A1:E12" totalsRowShown="0">
  <autoFilter ref="A1:E12" xr:uid="{B2E2571B-B0B8-4FE2-998B-F9FA0CC3461C}"/>
  <tableColumns count="5">
    <tableColumn id="1" xr3:uid="{125D2631-5D9D-478B-AAA4-C3F08B1AAA29}" name="Regional" dataDxfId="45"/>
    <tableColumn id="2" xr3:uid="{F6E50552-F164-4C71-87B3-309200474FED}" name="Mês" dataDxfId="44"/>
    <tableColumn id="3" xr3:uid="{F0E31250-3303-4546-8421-6CFB536ACFB8}" name="Cidade" dataDxfId="43"/>
    <tableColumn id="4" xr3:uid="{1347C4F2-91A1-43CE-9418-C39D1BA148FC}" name="VD - Volume Disponibilizado (m³)"/>
    <tableColumn id="5" xr3:uid="{E5C8BDBB-4FEA-4C62-A125-C49CA7088877}" name="AG010 - VC - Volume Consumido (m³)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7E7120F-55D7-499C-92C6-E64EF7BC5A1B}" name="Cacequi" displayName="Cacequi" ref="A1:E12" totalsRowShown="0">
  <autoFilter ref="A1:E12" xr:uid="{D7E7120F-55D7-499C-92C6-E64EF7BC5A1B}"/>
  <tableColumns count="5">
    <tableColumn id="1" xr3:uid="{EBA3A167-22FD-4DC6-98FD-B75CE7B8D26F}" name="Regional" dataDxfId="42"/>
    <tableColumn id="2" xr3:uid="{7E423686-ACB1-4073-A0BE-0FD1CBED2CD9}" name="Mês" dataDxfId="41"/>
    <tableColumn id="3" xr3:uid="{0242D8FF-F4CC-4559-AEDB-E53F774E00AA}" name="Cidade" dataDxfId="40"/>
    <tableColumn id="4" xr3:uid="{3393D38D-45EA-42B4-B94A-96301DD2EE87}" name="VD - Volume Disponibilizado (m³)"/>
    <tableColumn id="5" xr3:uid="{12D0A692-AC47-4A3D-817E-2DC8D6D4A6B1}" name="AG010 - VC - Volume Consumido (m³)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5215932-E734-4657-AD81-465025840BEA}" name="Bossoroca" displayName="Bossoroca" ref="A1:E12" totalsRowShown="0">
  <autoFilter ref="A1:E12" xr:uid="{25215932-E734-4657-AD81-465025840BEA}"/>
  <tableColumns count="5">
    <tableColumn id="1" xr3:uid="{845BF9FE-7D02-4C7F-9AF7-4788DC78FF08}" name="Regional" dataDxfId="39"/>
    <tableColumn id="2" xr3:uid="{344DEC5C-2BB7-4E5E-8CB1-8D9636B46054}" name="Mês" dataDxfId="38"/>
    <tableColumn id="3" xr3:uid="{BF9DEFD5-5AF4-4E2D-8735-D587E704E441}" name="Cidade" dataDxfId="37"/>
    <tableColumn id="4" xr3:uid="{53633FEF-FD39-4F44-88A7-2C6B53EC0034}" name="VD - Volume Disponibilizado (m³)"/>
    <tableColumn id="5" xr3:uid="{38663C46-E36F-45A3-A5B9-F710180DFBB9}" name="AG010 - VC - Volume Consumido (m³)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F2CCF0E-D2DF-4930-B48F-B8FF337D3F53}" name="Caçapava_do_Sul" displayName="Caçapava_do_Sul" ref="A1:E12" totalsRowShown="0">
  <autoFilter ref="A1:E12" xr:uid="{CF2CCF0E-D2DF-4930-B48F-B8FF337D3F53}"/>
  <tableColumns count="5">
    <tableColumn id="1" xr3:uid="{871C96D9-0D45-4C4A-BD0F-8D8E4F345F8D}" name="Regional" dataDxfId="36"/>
    <tableColumn id="2" xr3:uid="{ED8550F7-90DC-4F5B-8A38-A13CE25898D9}" name="Mês" dataDxfId="35"/>
    <tableColumn id="3" xr3:uid="{A07C6056-4DFF-4223-BDAE-5ACBB3DC6F50}" name="Cidade"/>
    <tableColumn id="4" xr3:uid="{92F3CBDE-E322-470E-8BA4-8857E92E8DED}" name="VD - Volume Disponibilizado (m³)"/>
    <tableColumn id="5" xr3:uid="{DB690C88-6AED-4760-8B6F-88D149C88462}" name="AG010 - VC - Volume Consumido (m³)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DCC97A4-2B47-48AC-882B-81B543ECD9E4}" name="Tabela10" displayName="Tabela10" ref="B2:F80" totalsRowShown="0" headerRowDxfId="34" dataDxfId="33">
  <autoFilter ref="B2:F80" xr:uid="{CDCC97A4-2B47-48AC-882B-81B543ECD9E4}"/>
  <tableColumns count="5">
    <tableColumn id="1" xr3:uid="{A26B75F0-64E7-4B84-B9E7-7BF707FE391F}" name="Regional" dataDxfId="32"/>
    <tableColumn id="2" xr3:uid="{869F2614-F1B9-4780-86A2-299FF562812D}" name="Cidade" dataDxfId="31"/>
    <tableColumn id="3" xr3:uid="{8C15A007-7F4D-44BB-92FD-AA3B8976271B}" name="Mês" dataDxfId="30"/>
    <tableColumn id="4" xr3:uid="{6B4AFF0C-7244-4F63-8E8E-DCBBA9F3C386}" name="Vol. Disponibilizado - VD (m³)" dataDxfId="29"/>
    <tableColumn id="5" xr3:uid="{C102317B-E4A7-47F4-9A71-5656CBEB11BD}" name="Vol. Consumido - VF (m³)" dataDxfId="28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7559EA-6B0E-4892-92BC-67A9A7F0E653}" name="Barra_do_quaraí" displayName="Barra_do_quaraí" ref="B1:G12" totalsRowShown="0">
  <autoFilter ref="B1:G12" xr:uid="{F17559EA-6B0E-4892-92BC-67A9A7F0E653}"/>
  <tableColumns count="6">
    <tableColumn id="4" xr3:uid="{1E67D644-E1B8-41C5-9185-BB909FBB3BA9}" name="Município" dataDxfId="27"/>
    <tableColumn id="5" xr3:uid="{29E5E1ED-D389-4932-AA31-0843A769DD6F}" name="Regional" dataDxfId="26"/>
    <tableColumn id="6" xr3:uid="{8EFE6E93-61F4-46DC-B568-38D642373FEB}" name="Mês" dataDxfId="25"/>
    <tableColumn id="7" xr3:uid="{AFDC7398-9208-468B-8793-4D1737D19C70}" name="Cidade" dataDxfId="24"/>
    <tableColumn id="3" xr3:uid="{61BA23EF-49BC-41C5-A11B-BF630EE280B7}" name="VD - Volume Disponibilizado (m³)"/>
    <tableColumn id="2" xr3:uid="{2EF778D6-F0BC-49F0-8B31-A9DBE8695A9C}" name="AG010 - VC - Volume Consumido (m³)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FFC0858-4259-4E95-AC7C-C70B8593E12B}" name="Maçambará" displayName="Maçambará" ref="A1:F12" totalsRowShown="0">
  <autoFilter ref="A1:F12" xr:uid="{DFFC0858-4259-4E95-AC7C-C70B8593E12B}"/>
  <tableColumns count="6">
    <tableColumn id="4" xr3:uid="{9FEC189D-D7CF-44B1-896C-AD325F8CC771}" name="Município" dataDxfId="23"/>
    <tableColumn id="5" xr3:uid="{3D12E887-E48A-4FBA-B220-99F6A8B8C0E2}" name="Regional" dataDxfId="22"/>
    <tableColumn id="6" xr3:uid="{FF9C3016-1637-4947-AA80-42EBC73B1DDF}" name="Mês" dataDxfId="21"/>
    <tableColumn id="7" xr3:uid="{0458D0A2-D623-4AF0-BCCA-5EAA99D81E7B}" name="Cidade" dataDxfId="20"/>
    <tableColumn id="3" xr3:uid="{3C3A04BE-F60D-42AB-98C9-B244760ABEF8}" name="VD - Volume Disponibilizado (m³)"/>
    <tableColumn id="2" xr3:uid="{66518CD7-1F4E-4039-82C9-9212600372B8}" name="AG010 - VC - Volume Consumido (m³)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4D5BA5D-225C-4981-8335-3CDB73540F43}" name="São_Borja" displayName="São_Borja" ref="B1:G12" totalsRowShown="0">
  <autoFilter ref="B1:G12" xr:uid="{74D5BA5D-225C-4981-8335-3CDB73540F43}"/>
  <tableColumns count="6">
    <tableColumn id="4" xr3:uid="{B54F8E04-6062-45E3-BC42-3CDAD0CC344E}" name="Município" dataDxfId="19"/>
    <tableColumn id="5" xr3:uid="{6B23D26D-E569-4CB3-8D4D-CC7C393CE111}" name="Regional" dataDxfId="18"/>
    <tableColumn id="6" xr3:uid="{7542A8F3-655A-473A-B32C-6D9FBAA9E577}" name="Mês" dataDxfId="17"/>
    <tableColumn id="7" xr3:uid="{0813CBF8-545F-46F7-BDCB-EBDD29B87DA6}" name="Cidade" dataDxfId="16"/>
    <tableColumn id="3" xr3:uid="{F19EB436-DE0D-400E-A4C9-A7331B15FA0C}" name="VD - Volume Disponibilizado (m³)"/>
    <tableColumn id="2" xr3:uid="{E1402F5D-91D0-4FB4-8FA6-B79DDDBF16B3}" name="AG010 - VC - Volume Consumido (m³)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0701DD7-C6AB-4EBF-9D8C-F8161E4C83A2}" name="Quaraí" displayName="Quaraí" ref="A1:F12" totalsRowShown="0">
  <autoFilter ref="A1:F12" xr:uid="{A0701DD7-C6AB-4EBF-9D8C-F8161E4C83A2}"/>
  <tableColumns count="6">
    <tableColumn id="4" xr3:uid="{BE17C534-D8CB-4492-952F-15AC0E1C232F}" name="Município" dataDxfId="15"/>
    <tableColumn id="5" xr3:uid="{1AE60267-28E6-4897-B5B1-92B7159B5E97}" name="Regional" dataDxfId="14"/>
    <tableColumn id="6" xr3:uid="{FE1A5731-B23F-45EC-989B-818C115B4D49}" name="Mês" dataDxfId="13"/>
    <tableColumn id="7" xr3:uid="{B7343DD1-317F-48A7-AB9F-685EC6F8F533}" name="Cidade" dataDxfId="12"/>
    <tableColumn id="3" xr3:uid="{DD7E35FE-6FC9-4653-B2A4-C236A6F8638F}" name="VD - Volume Disponibilizado (m³)"/>
    <tableColumn id="2" xr3:uid="{8DA88632-CA3E-4607-B8B7-56A8ABCB3B96}" name="AG010 - VC - Volume Consumido (m³)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01E1C5D-A602-4A24-9E98-4DF680B48CE9}" name="Manoel_Viana" displayName="Manoel_Viana" ref="A1:F12" totalsRowShown="0">
  <autoFilter ref="A1:F12" xr:uid="{D01E1C5D-A602-4A24-9E98-4DF680B48CE9}"/>
  <tableColumns count="6">
    <tableColumn id="4" xr3:uid="{011D8458-62CD-41E4-8346-AB2B6970DAA6}" name="Município" dataDxfId="11"/>
    <tableColumn id="5" xr3:uid="{B1C95DD1-EF20-45F5-B799-63CDA0E85057}" name="Regional" dataDxfId="10"/>
    <tableColumn id="6" xr3:uid="{6334337A-0A9A-492F-850D-4F43455EBBD7}" name="Mês" dataDxfId="9"/>
    <tableColumn id="7" xr3:uid="{136EA31D-AAB3-4FA9-AA62-3291BD27B6F7}" name="Cidade" dataDxfId="8"/>
    <tableColumn id="3" xr3:uid="{0633C039-90A6-4575-A8B1-0AD2603511F1}" name="VD - Volume Disponibilizado (m³)"/>
    <tableColumn id="2" xr3:uid="{409C70EF-9CD1-4613-8F9D-B4299AAAC259}" name="AG010 - VC - Volume Consumido (m³)"/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4A71C6-FCF3-4C77-94ED-B6D15F80EE56}" name="Itaqui" displayName="Itaqui" ref="A1:F12" totalsRowShown="0">
  <autoFilter ref="A1:F12" xr:uid="{C14A71C6-FCF3-4C77-94ED-B6D15F80EE56}"/>
  <tableColumns count="6">
    <tableColumn id="4" xr3:uid="{22C2C31C-7C71-41A6-A83A-7E58961DB835}" name="Município" dataDxfId="7"/>
    <tableColumn id="5" xr3:uid="{00625719-9A48-45D2-B8BB-A89A1AA5FB71}" name="Regional" dataDxfId="6"/>
    <tableColumn id="6" xr3:uid="{2E2607E4-71F2-4FF2-9B27-1A7C987B02A4}" name="Mês" dataDxfId="5"/>
    <tableColumn id="7" xr3:uid="{FF7B2B09-9B90-4BF8-8527-8552541E0C81}" name="Cidade" dataDxfId="4"/>
    <tableColumn id="3" xr3:uid="{5D0868B7-39C1-4EFE-98C3-FD49D41AF451}" name="VD - Volume Disponibilizado (m³)"/>
    <tableColumn id="2" xr3:uid="{656CC9F3-458C-43F1-BBC4-5E8FF6AF4729}" name="AG010 - VC - Volume Consumido (m³)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370E9-68AA-4C08-B39D-2F8C8A4F225F}" name="Alegrete" displayName="Alegrete" ref="A1:F12" totalsRowShown="0">
  <autoFilter ref="A1:F12" xr:uid="{137370E9-68AA-4C08-B39D-2F8C8A4F225F}"/>
  <tableColumns count="6">
    <tableColumn id="4" xr3:uid="{BDF4B54A-F57E-42F0-8328-464343033492}" name="Município" dataDxfId="3"/>
    <tableColumn id="5" xr3:uid="{9BB3B791-96F2-48E0-AC15-D9D6A3452609}" name="Regional" dataDxfId="2"/>
    <tableColumn id="6" xr3:uid="{1AA89B5D-353F-4862-B4A3-43C705F08638}" name="Mês" dataDxfId="1"/>
    <tableColumn id="7" xr3:uid="{04C16E30-F8BB-470A-9790-A50A02DE4222}" name="Cidade" dataDxfId="0"/>
    <tableColumn id="3" xr3:uid="{AA49C85E-C30E-4738-85D8-902EEC19C261}" name="VD - Volume Disponibilizado (m³)"/>
    <tableColumn id="2" xr3:uid="{99754FD9-CCCE-4293-9375-C6286E5EC8BA}" name="AG010 - VC - Volume Consumido (m³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3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M415"/>
  <sheetViews>
    <sheetView topLeftCell="A379" workbookViewId="0">
      <selection activeCell="A255" sqref="A255:G415"/>
    </sheetView>
  </sheetViews>
  <sheetFormatPr defaultRowHeight="14.5" x14ac:dyDescent="0.35"/>
  <cols>
    <col min="1" max="1" width="12.453125" bestFit="1" customWidth="1"/>
    <col min="2" max="2" width="10.7265625" customWidth="1"/>
    <col min="3" max="3" width="27" customWidth="1"/>
    <col min="4" max="4" width="30" bestFit="1" customWidth="1"/>
    <col min="5" max="5" width="25.81640625" bestFit="1" customWidth="1"/>
    <col min="6" max="6" width="12.1796875" customWidth="1"/>
    <col min="7" max="7" width="11.26953125" customWidth="1"/>
    <col min="8" max="8" width="5.26953125" customWidth="1"/>
    <col min="9" max="9" width="18.7265625" customWidth="1"/>
    <col min="12" max="12" width="27.7265625" bestFit="1" customWidth="1"/>
    <col min="13" max="13" width="23.542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1</v>
      </c>
      <c r="K1" t="s">
        <v>8</v>
      </c>
      <c r="L1" s="9" t="s">
        <v>3</v>
      </c>
      <c r="M1" s="9" t="s">
        <v>4</v>
      </c>
    </row>
    <row r="2" spans="1:13" x14ac:dyDescent="0.35">
      <c r="A2" t="s">
        <v>9</v>
      </c>
      <c r="B2" s="3">
        <v>45444</v>
      </c>
      <c r="C2" t="s">
        <v>10</v>
      </c>
      <c r="D2" s="2">
        <v>8952</v>
      </c>
      <c r="E2" s="2">
        <v>7978</v>
      </c>
      <c r="F2" s="2">
        <v>974</v>
      </c>
      <c r="G2" s="1">
        <v>0.108802502234138</v>
      </c>
    </row>
    <row r="3" spans="1:13" x14ac:dyDescent="0.35">
      <c r="A3" t="s">
        <v>11</v>
      </c>
      <c r="B3" s="3">
        <v>45444</v>
      </c>
      <c r="C3" t="s">
        <v>12</v>
      </c>
      <c r="D3" s="2">
        <v>766641</v>
      </c>
      <c r="E3" s="2">
        <v>267624</v>
      </c>
      <c r="F3" s="2">
        <v>499017</v>
      </c>
      <c r="G3" s="1">
        <v>0.65091353058341495</v>
      </c>
    </row>
    <row r="4" spans="1:13" x14ac:dyDescent="0.35">
      <c r="A4" t="s">
        <v>11</v>
      </c>
      <c r="B4" s="3">
        <v>45444</v>
      </c>
      <c r="C4" t="s">
        <v>13</v>
      </c>
      <c r="D4" s="2">
        <v>17968</v>
      </c>
      <c r="E4" s="2">
        <v>10999</v>
      </c>
      <c r="F4" s="2">
        <v>6969</v>
      </c>
      <c r="G4" s="1">
        <v>0.38785618878005301</v>
      </c>
    </row>
    <row r="5" spans="1:13" x14ac:dyDescent="0.35">
      <c r="A5" t="s">
        <v>9</v>
      </c>
      <c r="B5" s="3">
        <v>45444</v>
      </c>
      <c r="C5" t="s">
        <v>14</v>
      </c>
      <c r="D5" s="2">
        <v>23870</v>
      </c>
      <c r="E5" s="2">
        <v>14396</v>
      </c>
      <c r="F5" s="2">
        <v>9474</v>
      </c>
      <c r="G5" s="1">
        <v>0.39689987431922902</v>
      </c>
    </row>
    <row r="6" spans="1:13" x14ac:dyDescent="0.35">
      <c r="A6" t="s">
        <v>9</v>
      </c>
      <c r="B6" s="3">
        <v>45444</v>
      </c>
      <c r="C6" t="s">
        <v>15</v>
      </c>
      <c r="D6" s="2">
        <v>159566</v>
      </c>
      <c r="E6" s="2">
        <v>93321</v>
      </c>
      <c r="F6" s="2">
        <v>66245</v>
      </c>
      <c r="G6" s="1">
        <v>0.41515736435080203</v>
      </c>
    </row>
    <row r="7" spans="1:13" x14ac:dyDescent="0.35">
      <c r="A7" t="s">
        <v>9</v>
      </c>
      <c r="B7" s="3">
        <v>45444</v>
      </c>
      <c r="C7" t="s">
        <v>16</v>
      </c>
      <c r="D7" s="2">
        <v>49113</v>
      </c>
      <c r="E7" s="2">
        <v>27934</v>
      </c>
      <c r="F7" s="2">
        <v>21179</v>
      </c>
      <c r="G7" s="1">
        <v>0.43123002056482002</v>
      </c>
    </row>
    <row r="8" spans="1:13" x14ac:dyDescent="0.35">
      <c r="A8" t="s">
        <v>9</v>
      </c>
      <c r="B8" s="3">
        <v>45444</v>
      </c>
      <c r="C8" t="s">
        <v>17</v>
      </c>
      <c r="D8" s="2">
        <v>270021</v>
      </c>
      <c r="E8" s="2">
        <v>130140</v>
      </c>
      <c r="F8" s="2">
        <v>139881</v>
      </c>
      <c r="G8" s="1">
        <v>0.51803748597331301</v>
      </c>
    </row>
    <row r="9" spans="1:13" x14ac:dyDescent="0.35">
      <c r="A9" t="s">
        <v>9</v>
      </c>
      <c r="B9" s="3">
        <v>45444</v>
      </c>
      <c r="C9" t="s">
        <v>18</v>
      </c>
      <c r="D9" s="2">
        <v>105963</v>
      </c>
      <c r="E9" s="2">
        <v>59456</v>
      </c>
      <c r="F9" s="2">
        <v>46507</v>
      </c>
      <c r="G9" s="1">
        <v>0.438898483432896</v>
      </c>
    </row>
    <row r="10" spans="1:13" x14ac:dyDescent="0.35">
      <c r="A10" t="s">
        <v>11</v>
      </c>
      <c r="B10" s="3">
        <v>45444</v>
      </c>
      <c r="C10" t="s">
        <v>19</v>
      </c>
      <c r="D10" s="2">
        <v>355098</v>
      </c>
      <c r="E10" s="2">
        <v>115995</v>
      </c>
      <c r="F10" s="2">
        <v>239103</v>
      </c>
      <c r="G10" s="1">
        <v>0.67334369666965199</v>
      </c>
    </row>
    <row r="11" spans="1:13" x14ac:dyDescent="0.35">
      <c r="A11" t="s">
        <v>9</v>
      </c>
      <c r="B11" s="3">
        <v>45444</v>
      </c>
      <c r="C11" t="s">
        <v>20</v>
      </c>
      <c r="D11" s="2">
        <v>28428</v>
      </c>
      <c r="E11" s="2">
        <v>24894</v>
      </c>
      <c r="F11" s="2">
        <v>3534</v>
      </c>
      <c r="G11" s="1">
        <v>0.124314056563951</v>
      </c>
    </row>
    <row r="12" spans="1:13" x14ac:dyDescent="0.35">
      <c r="A12" t="s">
        <v>9</v>
      </c>
      <c r="B12" s="3">
        <v>45444</v>
      </c>
      <c r="C12" t="s">
        <v>21</v>
      </c>
      <c r="D12" s="2">
        <v>33104</v>
      </c>
      <c r="E12" s="2">
        <v>21407</v>
      </c>
      <c r="F12" s="2">
        <v>11697</v>
      </c>
      <c r="G12" s="1">
        <v>0.353340985983567</v>
      </c>
    </row>
    <row r="13" spans="1:13" x14ac:dyDescent="0.35">
      <c r="A13" t="s">
        <v>11</v>
      </c>
      <c r="B13" s="3">
        <v>45444</v>
      </c>
      <c r="C13" t="s">
        <v>22</v>
      </c>
      <c r="D13" s="2">
        <v>15126</v>
      </c>
      <c r="E13" s="2">
        <v>6317</v>
      </c>
      <c r="F13" s="2">
        <v>8809</v>
      </c>
      <c r="G13" s="1">
        <v>0.58237471902684101</v>
      </c>
    </row>
    <row r="14" spans="1:13" x14ac:dyDescent="0.35">
      <c r="A14" t="s">
        <v>11</v>
      </c>
      <c r="B14" s="3">
        <v>45444</v>
      </c>
      <c r="C14" t="s">
        <v>23</v>
      </c>
      <c r="D14" s="2">
        <v>34831</v>
      </c>
      <c r="E14" s="2">
        <v>18833</v>
      </c>
      <c r="F14" s="2">
        <v>15998</v>
      </c>
      <c r="G14" s="1">
        <v>0.45930349401395298</v>
      </c>
    </row>
    <row r="15" spans="1:13" x14ac:dyDescent="0.35">
      <c r="A15" t="s">
        <v>9</v>
      </c>
      <c r="B15" s="3">
        <v>45444</v>
      </c>
      <c r="C15" t="s">
        <v>24</v>
      </c>
      <c r="D15" s="2">
        <v>27171</v>
      </c>
      <c r="E15" s="2">
        <v>13871</v>
      </c>
      <c r="F15" s="2">
        <v>13300</v>
      </c>
      <c r="G15" s="1">
        <v>0.489492473593169</v>
      </c>
    </row>
    <row r="16" spans="1:13" x14ac:dyDescent="0.35">
      <c r="A16" t="s">
        <v>11</v>
      </c>
      <c r="B16" s="3">
        <v>45444</v>
      </c>
      <c r="C16" t="s">
        <v>25</v>
      </c>
      <c r="D16" s="2">
        <v>235612</v>
      </c>
      <c r="E16" s="2">
        <v>83545</v>
      </c>
      <c r="F16" s="2">
        <v>152067</v>
      </c>
      <c r="G16" s="1">
        <v>0.64541279731083301</v>
      </c>
    </row>
    <row r="17" spans="1:7" x14ac:dyDescent="0.35">
      <c r="A17" t="s">
        <v>9</v>
      </c>
      <c r="B17" s="3">
        <v>45444</v>
      </c>
      <c r="C17" t="s">
        <v>26</v>
      </c>
      <c r="D17" s="2">
        <v>182814</v>
      </c>
      <c r="E17" s="2">
        <v>104829</v>
      </c>
      <c r="F17" s="2">
        <v>77985</v>
      </c>
      <c r="G17" s="1">
        <v>0.42658111523187497</v>
      </c>
    </row>
    <row r="18" spans="1:7" x14ac:dyDescent="0.35">
      <c r="A18" t="s">
        <v>9</v>
      </c>
      <c r="B18" s="3">
        <v>45444</v>
      </c>
      <c r="C18" t="s">
        <v>27</v>
      </c>
      <c r="D18" s="2">
        <v>3401</v>
      </c>
      <c r="E18" s="2">
        <v>2651</v>
      </c>
      <c r="F18" s="2">
        <v>750</v>
      </c>
      <c r="G18" s="1">
        <v>0.22052337547780099</v>
      </c>
    </row>
    <row r="19" spans="1:7" x14ac:dyDescent="0.35">
      <c r="A19" t="s">
        <v>9</v>
      </c>
      <c r="B19" s="3">
        <v>45444</v>
      </c>
      <c r="C19" t="s">
        <v>28</v>
      </c>
      <c r="D19" s="2">
        <v>27348</v>
      </c>
      <c r="E19" s="2">
        <v>14402</v>
      </c>
      <c r="F19" s="2">
        <v>12946</v>
      </c>
      <c r="G19" s="1">
        <v>0.47338013748720198</v>
      </c>
    </row>
    <row r="20" spans="1:7" x14ac:dyDescent="0.35">
      <c r="A20" t="s">
        <v>9</v>
      </c>
      <c r="B20" s="3">
        <v>45444</v>
      </c>
      <c r="C20" t="s">
        <v>29</v>
      </c>
      <c r="D20" s="2">
        <v>383170</v>
      </c>
      <c r="E20" s="2">
        <v>182550</v>
      </c>
      <c r="F20" s="2">
        <v>200620</v>
      </c>
      <c r="G20" s="1">
        <v>0.52357961218258198</v>
      </c>
    </row>
    <row r="21" spans="1:7" x14ac:dyDescent="0.35">
      <c r="A21" t="s">
        <v>11</v>
      </c>
      <c r="B21" s="3">
        <v>45444</v>
      </c>
      <c r="C21" t="s">
        <v>30</v>
      </c>
      <c r="D21" s="2">
        <v>364729</v>
      </c>
      <c r="E21" s="2">
        <v>194558</v>
      </c>
      <c r="F21" s="2">
        <v>170171</v>
      </c>
      <c r="G21" s="1">
        <v>0.46656832881399601</v>
      </c>
    </row>
    <row r="22" spans="1:7" x14ac:dyDescent="0.35">
      <c r="A22" t="s">
        <v>9</v>
      </c>
      <c r="B22" s="3">
        <v>45444</v>
      </c>
      <c r="C22" t="s">
        <v>31</v>
      </c>
      <c r="D22" s="2">
        <v>70818</v>
      </c>
      <c r="E22" s="2">
        <v>47460</v>
      </c>
      <c r="F22" s="2">
        <v>23358</v>
      </c>
      <c r="G22" s="1">
        <v>0.32983139879691598</v>
      </c>
    </row>
    <row r="23" spans="1:7" x14ac:dyDescent="0.35">
      <c r="A23" t="s">
        <v>9</v>
      </c>
      <c r="B23" s="3">
        <v>45444</v>
      </c>
      <c r="C23" t="s">
        <v>32</v>
      </c>
      <c r="D23" s="2">
        <v>32147</v>
      </c>
      <c r="E23" s="2">
        <v>24703</v>
      </c>
      <c r="F23" s="2">
        <v>7444</v>
      </c>
      <c r="G23" s="1">
        <v>0.23156126543689901</v>
      </c>
    </row>
    <row r="24" spans="1:7" x14ac:dyDescent="0.35">
      <c r="A24" t="s">
        <v>9</v>
      </c>
      <c r="B24" s="3">
        <v>45444</v>
      </c>
      <c r="C24" t="s">
        <v>33</v>
      </c>
      <c r="D24" s="2">
        <v>8342</v>
      </c>
      <c r="E24" s="2">
        <v>3726</v>
      </c>
      <c r="F24" s="2">
        <v>4616</v>
      </c>
      <c r="G24" s="1">
        <v>0.55334452169743498</v>
      </c>
    </row>
    <row r="25" spans="1:7" x14ac:dyDescent="0.35">
      <c r="A25" t="s">
        <v>9</v>
      </c>
      <c r="B25" s="3">
        <v>45413</v>
      </c>
      <c r="C25" t="s">
        <v>10</v>
      </c>
      <c r="D25" s="2">
        <v>8811</v>
      </c>
      <c r="E25" s="2">
        <v>8105</v>
      </c>
      <c r="F25" s="2">
        <v>706</v>
      </c>
      <c r="G25" s="1">
        <v>8.0127113834979002E-2</v>
      </c>
    </row>
    <row r="26" spans="1:7" x14ac:dyDescent="0.35">
      <c r="A26" t="s">
        <v>11</v>
      </c>
      <c r="B26" s="3">
        <v>45413</v>
      </c>
      <c r="C26" t="s">
        <v>12</v>
      </c>
      <c r="D26" s="2">
        <v>777985</v>
      </c>
      <c r="E26" s="2">
        <v>277650</v>
      </c>
      <c r="F26" s="2">
        <v>500335</v>
      </c>
      <c r="G26" s="1">
        <v>0.64311651252916202</v>
      </c>
    </row>
    <row r="27" spans="1:7" x14ac:dyDescent="0.35">
      <c r="A27" t="s">
        <v>11</v>
      </c>
      <c r="B27" s="3">
        <v>45413</v>
      </c>
      <c r="C27" t="s">
        <v>13</v>
      </c>
      <c r="D27" s="2">
        <v>18738</v>
      </c>
      <c r="E27" s="2">
        <v>13422</v>
      </c>
      <c r="F27" s="2">
        <v>5316</v>
      </c>
      <c r="G27" s="1">
        <v>0.28370156900416299</v>
      </c>
    </row>
    <row r="28" spans="1:7" x14ac:dyDescent="0.35">
      <c r="A28" t="s">
        <v>9</v>
      </c>
      <c r="B28" s="3">
        <v>45413</v>
      </c>
      <c r="C28" t="s">
        <v>14</v>
      </c>
      <c r="D28" s="2">
        <v>23390</v>
      </c>
      <c r="E28" s="2">
        <v>15647</v>
      </c>
      <c r="F28" s="2">
        <v>7743</v>
      </c>
      <c r="G28" s="1">
        <v>0.33103890551517701</v>
      </c>
    </row>
    <row r="29" spans="1:7" x14ac:dyDescent="0.35">
      <c r="A29" t="s">
        <v>9</v>
      </c>
      <c r="B29" s="3">
        <v>45413</v>
      </c>
      <c r="C29" t="s">
        <v>15</v>
      </c>
      <c r="D29" s="2">
        <v>165123</v>
      </c>
      <c r="E29" s="2">
        <v>104692</v>
      </c>
      <c r="F29" s="2">
        <v>60431</v>
      </c>
      <c r="G29" s="1">
        <v>0.365975666624274</v>
      </c>
    </row>
    <row r="30" spans="1:7" x14ac:dyDescent="0.35">
      <c r="A30" t="s">
        <v>9</v>
      </c>
      <c r="B30" s="3">
        <v>45413</v>
      </c>
      <c r="C30" t="s">
        <v>16</v>
      </c>
      <c r="D30" s="2">
        <v>43243</v>
      </c>
      <c r="E30" s="2">
        <v>36981</v>
      </c>
      <c r="F30" s="2">
        <v>6262</v>
      </c>
      <c r="G30" s="1">
        <v>0.14480956455380101</v>
      </c>
    </row>
    <row r="31" spans="1:7" x14ac:dyDescent="0.35">
      <c r="A31" t="s">
        <v>9</v>
      </c>
      <c r="B31" s="3">
        <v>45413</v>
      </c>
      <c r="C31" t="s">
        <v>17</v>
      </c>
      <c r="D31" s="2">
        <v>269672</v>
      </c>
      <c r="E31" s="2">
        <v>147731</v>
      </c>
      <c r="F31" s="2">
        <v>121941</v>
      </c>
      <c r="G31" s="1">
        <v>0.452182651517399</v>
      </c>
    </row>
    <row r="32" spans="1:7" x14ac:dyDescent="0.35">
      <c r="A32" t="s">
        <v>9</v>
      </c>
      <c r="B32" s="3">
        <v>45413</v>
      </c>
      <c r="C32" t="s">
        <v>18</v>
      </c>
      <c r="D32" s="2">
        <v>94872</v>
      </c>
      <c r="E32" s="2">
        <v>72105</v>
      </c>
      <c r="F32" s="2">
        <v>22767</v>
      </c>
      <c r="G32" s="1">
        <v>0.239975967619529</v>
      </c>
    </row>
    <row r="33" spans="1:7" x14ac:dyDescent="0.35">
      <c r="A33" t="s">
        <v>11</v>
      </c>
      <c r="B33" s="3">
        <v>45413</v>
      </c>
      <c r="C33" t="s">
        <v>19</v>
      </c>
      <c r="D33" s="2">
        <v>359014</v>
      </c>
      <c r="E33" s="2">
        <v>133315</v>
      </c>
      <c r="F33" s="2">
        <v>225699</v>
      </c>
      <c r="G33" s="1">
        <v>0.62866350615853395</v>
      </c>
    </row>
    <row r="34" spans="1:7" x14ac:dyDescent="0.35">
      <c r="A34" t="s">
        <v>9</v>
      </c>
      <c r="B34" s="3">
        <v>45413</v>
      </c>
      <c r="C34" t="s">
        <v>20</v>
      </c>
      <c r="D34" s="2">
        <v>34190</v>
      </c>
      <c r="E34" s="2">
        <v>28448</v>
      </c>
      <c r="F34" s="2">
        <v>5742</v>
      </c>
      <c r="G34" s="1">
        <v>0.16794384322901401</v>
      </c>
    </row>
    <row r="35" spans="1:7" x14ac:dyDescent="0.35">
      <c r="A35" t="s">
        <v>9</v>
      </c>
      <c r="B35" s="3">
        <v>45413</v>
      </c>
      <c r="C35" t="s">
        <v>21</v>
      </c>
      <c r="D35" s="2">
        <v>34941</v>
      </c>
      <c r="E35" s="2">
        <v>26825</v>
      </c>
      <c r="F35" s="2">
        <v>8116</v>
      </c>
      <c r="G35" s="1">
        <v>0.23227726739360599</v>
      </c>
    </row>
    <row r="36" spans="1:7" x14ac:dyDescent="0.35">
      <c r="A36" t="s">
        <v>11</v>
      </c>
      <c r="B36" s="3">
        <v>45413</v>
      </c>
      <c r="C36" t="s">
        <v>22</v>
      </c>
      <c r="D36" s="2">
        <v>14923</v>
      </c>
      <c r="E36" s="2">
        <v>5564</v>
      </c>
      <c r="F36" s="2">
        <v>9359</v>
      </c>
      <c r="G36" s="1">
        <v>0.62715271728204802</v>
      </c>
    </row>
    <row r="37" spans="1:7" x14ac:dyDescent="0.35">
      <c r="A37" t="s">
        <v>11</v>
      </c>
      <c r="B37" s="3">
        <v>45413</v>
      </c>
      <c r="C37" t="s">
        <v>23</v>
      </c>
      <c r="D37" s="2">
        <v>37948</v>
      </c>
      <c r="E37" s="2">
        <v>21522</v>
      </c>
      <c r="F37" s="2">
        <v>16426</v>
      </c>
      <c r="G37" s="1">
        <v>0.43285548645514899</v>
      </c>
    </row>
    <row r="38" spans="1:7" x14ac:dyDescent="0.35">
      <c r="A38" t="s">
        <v>9</v>
      </c>
      <c r="B38" s="3">
        <v>45413</v>
      </c>
      <c r="C38" t="s">
        <v>24</v>
      </c>
      <c r="D38" s="2">
        <v>27079</v>
      </c>
      <c r="E38" s="2">
        <v>16121</v>
      </c>
      <c r="F38" s="2">
        <v>10958</v>
      </c>
      <c r="G38" s="1">
        <v>0.40466782377488097</v>
      </c>
    </row>
    <row r="39" spans="1:7" x14ac:dyDescent="0.35">
      <c r="A39" t="s">
        <v>11</v>
      </c>
      <c r="B39" s="3">
        <v>45413</v>
      </c>
      <c r="C39" t="s">
        <v>25</v>
      </c>
      <c r="D39" s="2">
        <v>237885</v>
      </c>
      <c r="E39" s="2">
        <v>93179</v>
      </c>
      <c r="F39" s="2">
        <v>144706</v>
      </c>
      <c r="G39" s="1">
        <v>0.60830233095823605</v>
      </c>
    </row>
    <row r="40" spans="1:7" x14ac:dyDescent="0.35">
      <c r="A40" t="s">
        <v>9</v>
      </c>
      <c r="B40" s="3">
        <v>45413</v>
      </c>
      <c r="C40" t="s">
        <v>26</v>
      </c>
      <c r="D40" s="2">
        <v>176827</v>
      </c>
      <c r="E40" s="2">
        <v>124950</v>
      </c>
      <c r="F40" s="2">
        <v>51877</v>
      </c>
      <c r="G40" s="1">
        <v>0.29337714263093301</v>
      </c>
    </row>
    <row r="41" spans="1:7" x14ac:dyDescent="0.35">
      <c r="A41" t="s">
        <v>9</v>
      </c>
      <c r="B41" s="3">
        <v>45413</v>
      </c>
      <c r="C41" t="s">
        <v>27</v>
      </c>
      <c r="D41" s="2">
        <v>3383</v>
      </c>
      <c r="E41" s="2">
        <v>2931</v>
      </c>
      <c r="F41" s="2">
        <v>452</v>
      </c>
      <c r="G41" s="1">
        <v>0.13360922258350599</v>
      </c>
    </row>
    <row r="42" spans="1:7" x14ac:dyDescent="0.35">
      <c r="A42" t="s">
        <v>9</v>
      </c>
      <c r="B42" s="3">
        <v>45413</v>
      </c>
      <c r="C42" t="s">
        <v>28</v>
      </c>
      <c r="D42" s="2">
        <v>26270</v>
      </c>
      <c r="E42" s="2">
        <v>14669</v>
      </c>
      <c r="F42" s="2">
        <v>11601</v>
      </c>
      <c r="G42" s="1">
        <v>0.44160639512752198</v>
      </c>
    </row>
    <row r="43" spans="1:7" x14ac:dyDescent="0.35">
      <c r="A43" t="s">
        <v>9</v>
      </c>
      <c r="B43" s="3">
        <v>45413</v>
      </c>
      <c r="C43" t="s">
        <v>29</v>
      </c>
      <c r="D43" s="2">
        <v>395617</v>
      </c>
      <c r="E43" s="2">
        <v>197836</v>
      </c>
      <c r="F43" s="2">
        <v>197781</v>
      </c>
      <c r="G43" s="1">
        <v>0.49993048832582998</v>
      </c>
    </row>
    <row r="44" spans="1:7" x14ac:dyDescent="0.35">
      <c r="A44" t="s">
        <v>11</v>
      </c>
      <c r="B44" s="3">
        <v>45413</v>
      </c>
      <c r="C44" t="s">
        <v>30</v>
      </c>
      <c r="D44" s="2">
        <v>378832</v>
      </c>
      <c r="E44" s="2">
        <v>218753</v>
      </c>
      <c r="F44" s="2">
        <v>160079</v>
      </c>
      <c r="G44" s="1">
        <v>0.42255934028804298</v>
      </c>
    </row>
    <row r="45" spans="1:7" x14ac:dyDescent="0.35">
      <c r="A45" t="s">
        <v>9</v>
      </c>
      <c r="B45" s="3">
        <v>45413</v>
      </c>
      <c r="C45" t="s">
        <v>31</v>
      </c>
      <c r="D45" s="2">
        <v>66489</v>
      </c>
      <c r="E45" s="2">
        <v>53578</v>
      </c>
      <c r="F45" s="2">
        <v>12911</v>
      </c>
      <c r="G45" s="1">
        <v>0.19418249635278001</v>
      </c>
    </row>
    <row r="46" spans="1:7" x14ac:dyDescent="0.35">
      <c r="A46" t="s">
        <v>9</v>
      </c>
      <c r="B46" s="3">
        <v>45413</v>
      </c>
      <c r="C46" t="s">
        <v>32</v>
      </c>
      <c r="D46" s="2">
        <v>30686</v>
      </c>
      <c r="E46" s="2">
        <v>28003</v>
      </c>
      <c r="F46" s="2">
        <v>2683</v>
      </c>
      <c r="G46" s="1">
        <v>8.7434008994329696E-2</v>
      </c>
    </row>
    <row r="47" spans="1:7" x14ac:dyDescent="0.35">
      <c r="A47" t="s">
        <v>9</v>
      </c>
      <c r="B47" s="3">
        <v>45413</v>
      </c>
      <c r="C47" t="s">
        <v>33</v>
      </c>
      <c r="D47" s="2">
        <v>8339</v>
      </c>
      <c r="E47" s="2">
        <v>3428</v>
      </c>
      <c r="F47" s="2">
        <v>4911</v>
      </c>
      <c r="G47" s="1">
        <v>0.58891953471639302</v>
      </c>
    </row>
    <row r="48" spans="1:7" x14ac:dyDescent="0.35">
      <c r="A48" t="s">
        <v>9</v>
      </c>
      <c r="B48" s="3">
        <v>45383</v>
      </c>
      <c r="C48" t="s">
        <v>10</v>
      </c>
      <c r="D48" s="2">
        <v>8633</v>
      </c>
      <c r="E48" s="2">
        <v>7850</v>
      </c>
      <c r="F48" s="2">
        <v>783</v>
      </c>
      <c r="G48" s="1">
        <v>9.0698482566894501E-2</v>
      </c>
    </row>
    <row r="49" spans="1:7" x14ac:dyDescent="0.35">
      <c r="A49" t="s">
        <v>11</v>
      </c>
      <c r="B49" s="3">
        <v>45383</v>
      </c>
      <c r="C49" t="s">
        <v>12</v>
      </c>
      <c r="D49" s="2">
        <v>750075</v>
      </c>
      <c r="E49" s="2">
        <v>258576</v>
      </c>
      <c r="F49" s="2">
        <v>491499</v>
      </c>
      <c r="G49" s="1">
        <v>0.65526647335266497</v>
      </c>
    </row>
    <row r="50" spans="1:7" x14ac:dyDescent="0.35">
      <c r="A50" t="s">
        <v>11</v>
      </c>
      <c r="B50" s="3">
        <v>45383</v>
      </c>
      <c r="C50" t="s">
        <v>13</v>
      </c>
      <c r="D50" s="2">
        <v>18598</v>
      </c>
      <c r="E50" s="2">
        <v>12767</v>
      </c>
      <c r="F50" s="2">
        <v>5831</v>
      </c>
      <c r="G50" s="1">
        <v>0.31352833638025601</v>
      </c>
    </row>
    <row r="51" spans="1:7" x14ac:dyDescent="0.35">
      <c r="A51" t="s">
        <v>9</v>
      </c>
      <c r="B51" s="3">
        <v>45383</v>
      </c>
      <c r="C51" t="s">
        <v>14</v>
      </c>
      <c r="D51" s="2">
        <v>23450</v>
      </c>
      <c r="E51" s="2">
        <v>15179</v>
      </c>
      <c r="F51" s="2">
        <v>8271</v>
      </c>
      <c r="G51" s="1">
        <v>0.35270788912579998</v>
      </c>
    </row>
    <row r="52" spans="1:7" x14ac:dyDescent="0.35">
      <c r="A52" t="s">
        <v>9</v>
      </c>
      <c r="B52" s="3">
        <v>45383</v>
      </c>
      <c r="C52" t="s">
        <v>15</v>
      </c>
      <c r="D52" s="2">
        <v>159011</v>
      </c>
      <c r="E52" s="2">
        <v>102185</v>
      </c>
      <c r="F52" s="2">
        <v>56826</v>
      </c>
      <c r="G52" s="1">
        <v>0.35737150260044898</v>
      </c>
    </row>
    <row r="53" spans="1:7" x14ac:dyDescent="0.35">
      <c r="A53" t="s">
        <v>9</v>
      </c>
      <c r="B53" s="3">
        <v>45383</v>
      </c>
      <c r="C53" t="s">
        <v>16</v>
      </c>
      <c r="D53" s="2">
        <v>58224</v>
      </c>
      <c r="E53" s="2">
        <v>36291</v>
      </c>
      <c r="F53" s="2">
        <v>21933</v>
      </c>
      <c r="G53" s="1">
        <v>0.37670032976092299</v>
      </c>
    </row>
    <row r="54" spans="1:7" x14ac:dyDescent="0.35">
      <c r="A54" t="s">
        <v>9</v>
      </c>
      <c r="B54" s="3">
        <v>45383</v>
      </c>
      <c r="C54" t="s">
        <v>17</v>
      </c>
      <c r="D54" s="2">
        <v>250489</v>
      </c>
      <c r="E54" s="2">
        <v>138315</v>
      </c>
      <c r="F54" s="2">
        <v>112174</v>
      </c>
      <c r="G54" s="1">
        <v>0.44782006395490398</v>
      </c>
    </row>
    <row r="55" spans="1:7" x14ac:dyDescent="0.35">
      <c r="A55" t="s">
        <v>9</v>
      </c>
      <c r="B55" s="3">
        <v>45383</v>
      </c>
      <c r="C55" t="s">
        <v>18</v>
      </c>
      <c r="D55" s="2">
        <v>92409</v>
      </c>
      <c r="E55" s="2">
        <v>66899</v>
      </c>
      <c r="F55" s="2">
        <v>25510</v>
      </c>
      <c r="G55" s="1">
        <v>0.27605536257291002</v>
      </c>
    </row>
    <row r="56" spans="1:7" x14ac:dyDescent="0.35">
      <c r="A56" t="s">
        <v>11</v>
      </c>
      <c r="B56" s="3">
        <v>45383</v>
      </c>
      <c r="C56" t="s">
        <v>19</v>
      </c>
      <c r="D56" s="2">
        <v>343149</v>
      </c>
      <c r="E56" s="2">
        <v>124336</v>
      </c>
      <c r="F56" s="2">
        <v>218813</v>
      </c>
      <c r="G56" s="1">
        <v>0.63766177374843003</v>
      </c>
    </row>
    <row r="57" spans="1:7" x14ac:dyDescent="0.35">
      <c r="A57" t="s">
        <v>9</v>
      </c>
      <c r="B57" s="3">
        <v>45383</v>
      </c>
      <c r="C57" t="s">
        <v>20</v>
      </c>
      <c r="D57" s="2">
        <v>34535</v>
      </c>
      <c r="E57" s="2">
        <v>25531</v>
      </c>
      <c r="F57" s="2">
        <v>9004</v>
      </c>
      <c r="G57" s="1">
        <v>0.26072100767337503</v>
      </c>
    </row>
    <row r="58" spans="1:7" x14ac:dyDescent="0.35">
      <c r="A58" t="s">
        <v>9</v>
      </c>
      <c r="B58" s="3">
        <v>45383</v>
      </c>
      <c r="C58" t="s">
        <v>21</v>
      </c>
      <c r="D58" s="2">
        <v>31329</v>
      </c>
      <c r="E58" s="2">
        <v>23810</v>
      </c>
      <c r="F58" s="2">
        <v>7519</v>
      </c>
      <c r="G58" s="1">
        <v>0.24000127677232</v>
      </c>
    </row>
    <row r="59" spans="1:7" x14ac:dyDescent="0.35">
      <c r="A59" t="s">
        <v>11</v>
      </c>
      <c r="B59" s="3">
        <v>45383</v>
      </c>
      <c r="C59" t="s">
        <v>22</v>
      </c>
      <c r="D59" s="2">
        <v>16159</v>
      </c>
      <c r="E59" s="2">
        <v>6036</v>
      </c>
      <c r="F59" s="2">
        <v>10123</v>
      </c>
      <c r="G59" s="1">
        <v>0.62646203354167995</v>
      </c>
    </row>
    <row r="60" spans="1:7" x14ac:dyDescent="0.35">
      <c r="A60" t="s">
        <v>11</v>
      </c>
      <c r="B60" s="3">
        <v>45383</v>
      </c>
      <c r="C60" t="s">
        <v>23</v>
      </c>
      <c r="D60" s="2">
        <v>37918</v>
      </c>
      <c r="E60" s="2">
        <v>19357</v>
      </c>
      <c r="F60" s="2">
        <v>18561</v>
      </c>
      <c r="G60" s="1">
        <v>0.48950366580515797</v>
      </c>
    </row>
    <row r="61" spans="1:7" x14ac:dyDescent="0.35">
      <c r="A61" t="s">
        <v>9</v>
      </c>
      <c r="B61" s="3">
        <v>45383</v>
      </c>
      <c r="C61" t="s">
        <v>24</v>
      </c>
      <c r="D61" s="2">
        <v>25475</v>
      </c>
      <c r="E61" s="2">
        <v>15191</v>
      </c>
      <c r="F61" s="2">
        <v>10284</v>
      </c>
      <c r="G61" s="1">
        <v>0.40368989205103001</v>
      </c>
    </row>
    <row r="62" spans="1:7" x14ac:dyDescent="0.35">
      <c r="A62" t="s">
        <v>11</v>
      </c>
      <c r="B62" s="3">
        <v>45383</v>
      </c>
      <c r="C62" t="s">
        <v>25</v>
      </c>
      <c r="D62" s="2">
        <v>228841</v>
      </c>
      <c r="E62" s="2">
        <v>86883</v>
      </c>
      <c r="F62" s="2">
        <v>141958</v>
      </c>
      <c r="G62" s="1">
        <v>0.62033464283061202</v>
      </c>
    </row>
    <row r="63" spans="1:7" x14ac:dyDescent="0.35">
      <c r="A63" t="s">
        <v>9</v>
      </c>
      <c r="B63" s="3">
        <v>45383</v>
      </c>
      <c r="C63" t="s">
        <v>26</v>
      </c>
      <c r="D63" s="2">
        <v>170086</v>
      </c>
      <c r="E63" s="2">
        <v>106239</v>
      </c>
      <c r="F63" s="2">
        <v>63847</v>
      </c>
      <c r="G63" s="1">
        <v>0.37538068976870498</v>
      </c>
    </row>
    <row r="64" spans="1:7" x14ac:dyDescent="0.35">
      <c r="A64" t="s">
        <v>9</v>
      </c>
      <c r="B64" s="3">
        <v>45383</v>
      </c>
      <c r="C64" t="s">
        <v>27</v>
      </c>
      <c r="D64" s="2">
        <v>3461</v>
      </c>
      <c r="E64" s="2">
        <v>3253</v>
      </c>
      <c r="F64" s="2">
        <v>208</v>
      </c>
      <c r="G64" s="1">
        <v>6.00982375036117E-2</v>
      </c>
    </row>
    <row r="65" spans="1:7" x14ac:dyDescent="0.35">
      <c r="A65" t="s">
        <v>9</v>
      </c>
      <c r="B65" s="3">
        <v>45383</v>
      </c>
      <c r="C65" t="s">
        <v>28</v>
      </c>
      <c r="D65" s="2">
        <v>23291</v>
      </c>
      <c r="E65" s="2">
        <v>13559</v>
      </c>
      <c r="F65" s="2">
        <v>9732</v>
      </c>
      <c r="G65" s="1">
        <v>0.41784380232707902</v>
      </c>
    </row>
    <row r="66" spans="1:7" x14ac:dyDescent="0.35">
      <c r="A66" t="s">
        <v>9</v>
      </c>
      <c r="B66" s="3">
        <v>45383</v>
      </c>
      <c r="C66" t="s">
        <v>29</v>
      </c>
      <c r="D66" s="2">
        <v>379963</v>
      </c>
      <c r="E66" s="2">
        <v>185531</v>
      </c>
      <c r="F66" s="2">
        <v>194432</v>
      </c>
      <c r="G66" s="1">
        <v>0.51171298257988296</v>
      </c>
    </row>
    <row r="67" spans="1:7" x14ac:dyDescent="0.35">
      <c r="A67" t="s">
        <v>11</v>
      </c>
      <c r="B67" s="3">
        <v>45383</v>
      </c>
      <c r="C67" t="s">
        <v>30</v>
      </c>
      <c r="D67" s="2">
        <v>380966</v>
      </c>
      <c r="E67" s="2">
        <v>196089</v>
      </c>
      <c r="F67" s="2">
        <v>184877</v>
      </c>
      <c r="G67" s="1">
        <v>0.48528477606925602</v>
      </c>
    </row>
    <row r="68" spans="1:7" x14ac:dyDescent="0.35">
      <c r="A68" t="s">
        <v>9</v>
      </c>
      <c r="B68" s="3">
        <v>45383</v>
      </c>
      <c r="C68" t="s">
        <v>31</v>
      </c>
      <c r="D68" s="2">
        <v>69110</v>
      </c>
      <c r="E68" s="2">
        <v>49023</v>
      </c>
      <c r="F68" s="2">
        <v>20087</v>
      </c>
      <c r="G68" s="1">
        <v>0.29065258283895201</v>
      </c>
    </row>
    <row r="69" spans="1:7" x14ac:dyDescent="0.35">
      <c r="A69" t="s">
        <v>9</v>
      </c>
      <c r="B69" s="3">
        <v>45383</v>
      </c>
      <c r="C69" t="s">
        <v>32</v>
      </c>
      <c r="D69" s="2">
        <v>31062</v>
      </c>
      <c r="E69" s="2">
        <v>24787</v>
      </c>
      <c r="F69" s="2">
        <v>6275</v>
      </c>
      <c r="G69" s="1">
        <v>0.202015324190329</v>
      </c>
    </row>
    <row r="70" spans="1:7" x14ac:dyDescent="0.35">
      <c r="A70" t="s">
        <v>9</v>
      </c>
      <c r="B70" s="3">
        <v>45383</v>
      </c>
      <c r="C70" t="s">
        <v>33</v>
      </c>
      <c r="D70" s="2">
        <v>7852</v>
      </c>
      <c r="E70" s="2">
        <v>3750</v>
      </c>
      <c r="F70" s="2">
        <v>4102</v>
      </c>
      <c r="G70" s="1">
        <v>0.52241467142129405</v>
      </c>
    </row>
    <row r="71" spans="1:7" x14ac:dyDescent="0.35">
      <c r="A71" t="s">
        <v>9</v>
      </c>
      <c r="B71" s="3">
        <v>45352</v>
      </c>
      <c r="C71" t="s">
        <v>10</v>
      </c>
      <c r="D71" s="2">
        <v>9520</v>
      </c>
      <c r="E71" s="2">
        <v>8041</v>
      </c>
      <c r="F71" s="2">
        <v>1479</v>
      </c>
      <c r="G71" s="1">
        <v>0.155357142857143</v>
      </c>
    </row>
    <row r="72" spans="1:7" x14ac:dyDescent="0.35">
      <c r="A72" t="s">
        <v>11</v>
      </c>
      <c r="B72" s="3">
        <v>45352</v>
      </c>
      <c r="C72" t="s">
        <v>12</v>
      </c>
      <c r="D72" s="2">
        <v>821754</v>
      </c>
      <c r="E72" s="2">
        <v>293629</v>
      </c>
      <c r="F72" s="2">
        <v>528125</v>
      </c>
      <c r="G72" s="1">
        <v>0.64268016949111295</v>
      </c>
    </row>
    <row r="73" spans="1:7" x14ac:dyDescent="0.35">
      <c r="A73" t="s">
        <v>11</v>
      </c>
      <c r="B73" s="3">
        <v>45352</v>
      </c>
      <c r="C73" t="s">
        <v>13</v>
      </c>
      <c r="D73" s="2">
        <v>19922</v>
      </c>
      <c r="E73" s="2">
        <v>13017</v>
      </c>
      <c r="F73" s="2">
        <v>6905</v>
      </c>
      <c r="G73" s="1">
        <v>0.346601746812569</v>
      </c>
    </row>
    <row r="74" spans="1:7" x14ac:dyDescent="0.35">
      <c r="A74" t="s">
        <v>9</v>
      </c>
      <c r="B74" s="3">
        <v>45352</v>
      </c>
      <c r="C74" t="s">
        <v>14</v>
      </c>
      <c r="D74" s="2">
        <v>22775</v>
      </c>
      <c r="E74" s="2">
        <v>16633</v>
      </c>
      <c r="F74" s="2">
        <v>6142</v>
      </c>
      <c r="G74" s="1">
        <v>0.26968166849615799</v>
      </c>
    </row>
    <row r="75" spans="1:7" x14ac:dyDescent="0.35">
      <c r="A75" t="s">
        <v>9</v>
      </c>
      <c r="B75" s="3">
        <v>45352</v>
      </c>
      <c r="C75" t="s">
        <v>15</v>
      </c>
      <c r="D75" s="2">
        <v>167684</v>
      </c>
      <c r="E75" s="2">
        <v>105248</v>
      </c>
      <c r="F75" s="2">
        <v>62436</v>
      </c>
      <c r="G75" s="1">
        <v>0.372343217003411</v>
      </c>
    </row>
    <row r="76" spans="1:7" x14ac:dyDescent="0.35">
      <c r="A76" t="s">
        <v>9</v>
      </c>
      <c r="B76" s="3">
        <v>45352</v>
      </c>
      <c r="C76" t="s">
        <v>16</v>
      </c>
      <c r="D76" s="2">
        <v>66854</v>
      </c>
      <c r="E76" s="2">
        <v>38686</v>
      </c>
      <c r="F76" s="2">
        <v>28168</v>
      </c>
      <c r="G76" s="1">
        <v>0.42133604571155098</v>
      </c>
    </row>
    <row r="77" spans="1:7" x14ac:dyDescent="0.35">
      <c r="A77" t="s">
        <v>9</v>
      </c>
      <c r="B77" s="3">
        <v>45352</v>
      </c>
      <c r="C77" t="s">
        <v>17</v>
      </c>
      <c r="D77" s="2">
        <v>269814</v>
      </c>
      <c r="E77" s="2">
        <v>151870</v>
      </c>
      <c r="F77" s="2">
        <v>117944</v>
      </c>
      <c r="G77" s="1">
        <v>0.43713076415604801</v>
      </c>
    </row>
    <row r="78" spans="1:7" x14ac:dyDescent="0.35">
      <c r="A78" t="s">
        <v>9</v>
      </c>
      <c r="B78" s="3">
        <v>45352</v>
      </c>
      <c r="C78" t="s">
        <v>18</v>
      </c>
      <c r="D78" s="2">
        <v>98925</v>
      </c>
      <c r="E78" s="2">
        <v>71358</v>
      </c>
      <c r="F78" s="2">
        <v>27567</v>
      </c>
      <c r="G78" s="1">
        <v>0.27866565579984798</v>
      </c>
    </row>
    <row r="79" spans="1:7" x14ac:dyDescent="0.35">
      <c r="A79" t="s">
        <v>11</v>
      </c>
      <c r="B79" s="3">
        <v>45352</v>
      </c>
      <c r="C79" t="s">
        <v>19</v>
      </c>
      <c r="D79" s="2">
        <v>353321</v>
      </c>
      <c r="E79" s="2">
        <v>137612</v>
      </c>
      <c r="F79" s="2">
        <v>215709</v>
      </c>
      <c r="G79" s="1">
        <v>0.61051848036205003</v>
      </c>
    </row>
    <row r="80" spans="1:7" x14ac:dyDescent="0.35">
      <c r="A80" t="s">
        <v>9</v>
      </c>
      <c r="B80" s="3">
        <v>45352</v>
      </c>
      <c r="C80" t="s">
        <v>20</v>
      </c>
      <c r="D80" s="2">
        <v>34172</v>
      </c>
      <c r="E80" s="2">
        <v>26990</v>
      </c>
      <c r="F80" s="2">
        <v>7182</v>
      </c>
      <c r="G80" s="1">
        <v>0.21017207070115901</v>
      </c>
    </row>
    <row r="81" spans="1:7" x14ac:dyDescent="0.35">
      <c r="A81" t="s">
        <v>9</v>
      </c>
      <c r="B81" s="3">
        <v>45352</v>
      </c>
      <c r="C81" t="s">
        <v>21</v>
      </c>
      <c r="D81" s="2">
        <v>34799</v>
      </c>
      <c r="E81" s="2">
        <v>25436</v>
      </c>
      <c r="F81" s="2">
        <v>9363</v>
      </c>
      <c r="G81" s="1">
        <v>0.26905945573148699</v>
      </c>
    </row>
    <row r="82" spans="1:7" x14ac:dyDescent="0.35">
      <c r="A82" t="s">
        <v>11</v>
      </c>
      <c r="B82" s="3">
        <v>45352</v>
      </c>
      <c r="C82" t="s">
        <v>22</v>
      </c>
      <c r="D82" s="2">
        <v>17323</v>
      </c>
      <c r="E82" s="2">
        <v>7808</v>
      </c>
      <c r="F82" s="2">
        <v>9515</v>
      </c>
      <c r="G82" s="1">
        <v>0.54926975697050195</v>
      </c>
    </row>
    <row r="83" spans="1:7" x14ac:dyDescent="0.35">
      <c r="A83" t="s">
        <v>11</v>
      </c>
      <c r="B83" s="3">
        <v>45352</v>
      </c>
      <c r="C83" t="s">
        <v>23</v>
      </c>
      <c r="D83" s="2">
        <v>37918</v>
      </c>
      <c r="E83" s="2">
        <v>21728</v>
      </c>
      <c r="F83" s="2">
        <v>16190</v>
      </c>
      <c r="G83" s="1">
        <v>0.42697399651880402</v>
      </c>
    </row>
    <row r="84" spans="1:7" x14ac:dyDescent="0.35">
      <c r="A84" t="s">
        <v>9</v>
      </c>
      <c r="B84" s="3">
        <v>45352</v>
      </c>
      <c r="C84" t="s">
        <v>24</v>
      </c>
      <c r="D84" s="2">
        <v>25779</v>
      </c>
      <c r="E84" s="2">
        <v>16976</v>
      </c>
      <c r="F84" s="2">
        <v>8803</v>
      </c>
      <c r="G84" s="1">
        <v>0.34147949881686601</v>
      </c>
    </row>
    <row r="85" spans="1:7" x14ac:dyDescent="0.35">
      <c r="A85" t="s">
        <v>11</v>
      </c>
      <c r="B85" s="3">
        <v>45352</v>
      </c>
      <c r="C85" t="s">
        <v>25</v>
      </c>
      <c r="D85" s="2">
        <v>237306</v>
      </c>
      <c r="E85" s="2">
        <v>92925</v>
      </c>
      <c r="F85" s="2">
        <v>144381</v>
      </c>
      <c r="G85" s="1">
        <v>0.60841698060731697</v>
      </c>
    </row>
    <row r="86" spans="1:7" x14ac:dyDescent="0.35">
      <c r="A86" t="s">
        <v>9</v>
      </c>
      <c r="B86" s="3">
        <v>45352</v>
      </c>
      <c r="C86" t="s">
        <v>26</v>
      </c>
      <c r="D86" s="2">
        <v>179526</v>
      </c>
      <c r="E86" s="2">
        <v>120609</v>
      </c>
      <c r="F86" s="2">
        <v>58917</v>
      </c>
      <c r="G86" s="1">
        <v>0.32818087630761</v>
      </c>
    </row>
    <row r="87" spans="1:7" x14ac:dyDescent="0.35">
      <c r="A87" t="s">
        <v>9</v>
      </c>
      <c r="B87" s="3">
        <v>45352</v>
      </c>
      <c r="C87" t="s">
        <v>27</v>
      </c>
      <c r="D87" s="2">
        <v>5693</v>
      </c>
      <c r="E87" s="2">
        <v>3058</v>
      </c>
      <c r="F87" s="2">
        <v>2635</v>
      </c>
      <c r="G87" s="1">
        <v>0.46284911294572301</v>
      </c>
    </row>
    <row r="88" spans="1:7" x14ac:dyDescent="0.35">
      <c r="A88" t="s">
        <v>9</v>
      </c>
      <c r="B88" s="3">
        <v>45352</v>
      </c>
      <c r="C88" t="s">
        <v>28</v>
      </c>
      <c r="D88" s="2">
        <v>24892</v>
      </c>
      <c r="E88" s="2">
        <v>14404</v>
      </c>
      <c r="F88" s="2">
        <v>10488</v>
      </c>
      <c r="G88" s="1">
        <v>0.42134018961915498</v>
      </c>
    </row>
    <row r="89" spans="1:7" x14ac:dyDescent="0.35">
      <c r="A89" t="s">
        <v>9</v>
      </c>
      <c r="B89" s="3">
        <v>45352</v>
      </c>
      <c r="C89" t="s">
        <v>29</v>
      </c>
      <c r="D89" s="2">
        <v>397701</v>
      </c>
      <c r="E89" s="2">
        <v>191041</v>
      </c>
      <c r="F89" s="2">
        <v>206660</v>
      </c>
      <c r="G89" s="1">
        <v>0.51963661142415996</v>
      </c>
    </row>
    <row r="90" spans="1:7" x14ac:dyDescent="0.35">
      <c r="A90" t="s">
        <v>11</v>
      </c>
      <c r="B90" s="3">
        <v>45352</v>
      </c>
      <c r="C90" t="s">
        <v>30</v>
      </c>
      <c r="D90" s="2">
        <v>388890</v>
      </c>
      <c r="E90" s="2">
        <v>227935</v>
      </c>
      <c r="F90" s="2">
        <v>160955</v>
      </c>
      <c r="G90" s="1">
        <v>0.41388310319113403</v>
      </c>
    </row>
    <row r="91" spans="1:7" x14ac:dyDescent="0.35">
      <c r="A91" t="s">
        <v>9</v>
      </c>
      <c r="B91" s="3">
        <v>45352</v>
      </c>
      <c r="C91" t="s">
        <v>31</v>
      </c>
      <c r="D91" s="2">
        <v>77351</v>
      </c>
      <c r="E91" s="2">
        <v>52955</v>
      </c>
      <c r="F91" s="2">
        <v>24396</v>
      </c>
      <c r="G91" s="1">
        <v>0.31539346614781999</v>
      </c>
    </row>
    <row r="92" spans="1:7" x14ac:dyDescent="0.35">
      <c r="A92" t="s">
        <v>9</v>
      </c>
      <c r="B92" s="3">
        <v>45352</v>
      </c>
      <c r="C92" t="s">
        <v>32</v>
      </c>
      <c r="D92" s="2">
        <v>33566</v>
      </c>
      <c r="E92" s="2">
        <v>26124</v>
      </c>
      <c r="F92" s="2">
        <v>7442</v>
      </c>
      <c r="G92" s="1">
        <v>0.22171244711910901</v>
      </c>
    </row>
    <row r="93" spans="1:7" x14ac:dyDescent="0.35">
      <c r="A93" t="s">
        <v>9</v>
      </c>
      <c r="B93" s="3">
        <v>45352</v>
      </c>
      <c r="C93" t="s">
        <v>33</v>
      </c>
      <c r="D93" s="2">
        <v>8405</v>
      </c>
      <c r="E93" s="2">
        <v>4315</v>
      </c>
      <c r="F93" s="2">
        <v>4090</v>
      </c>
      <c r="G93" s="1">
        <v>0.48661511005354002</v>
      </c>
    </row>
    <row r="94" spans="1:7" x14ac:dyDescent="0.35">
      <c r="A94" t="s">
        <v>9</v>
      </c>
      <c r="B94" s="3">
        <v>45323</v>
      </c>
      <c r="C94" t="s">
        <v>10</v>
      </c>
      <c r="D94" s="2">
        <v>9441</v>
      </c>
      <c r="E94" s="2">
        <v>10309</v>
      </c>
      <c r="F94" s="2">
        <v>-868</v>
      </c>
      <c r="G94" s="1">
        <v>-9.1939413197754505E-2</v>
      </c>
    </row>
    <row r="95" spans="1:7" x14ac:dyDescent="0.35">
      <c r="A95" t="s">
        <v>11</v>
      </c>
      <c r="B95" s="3">
        <v>45323</v>
      </c>
      <c r="C95" t="s">
        <v>12</v>
      </c>
      <c r="D95" s="2">
        <v>798998</v>
      </c>
      <c r="E95" s="2">
        <v>298062</v>
      </c>
      <c r="F95" s="2">
        <v>500936</v>
      </c>
      <c r="G95" s="1">
        <v>0.62695526146498504</v>
      </c>
    </row>
    <row r="96" spans="1:7" x14ac:dyDescent="0.35">
      <c r="A96" t="s">
        <v>11</v>
      </c>
      <c r="B96" s="3">
        <v>45323</v>
      </c>
      <c r="C96" t="s">
        <v>13</v>
      </c>
      <c r="D96" s="2">
        <v>19802</v>
      </c>
      <c r="E96" s="2">
        <v>16823</v>
      </c>
      <c r="F96" s="2">
        <v>2979</v>
      </c>
      <c r="G96" s="1">
        <v>0.15043934956065</v>
      </c>
    </row>
    <row r="97" spans="1:7" x14ac:dyDescent="0.35">
      <c r="A97" t="s">
        <v>9</v>
      </c>
      <c r="B97" s="3">
        <v>45323</v>
      </c>
      <c r="C97" t="s">
        <v>14</v>
      </c>
      <c r="D97" s="2">
        <v>20821</v>
      </c>
      <c r="E97" s="2">
        <v>15072</v>
      </c>
      <c r="F97" s="2">
        <v>5749</v>
      </c>
      <c r="G97" s="1">
        <v>0.27611546035252899</v>
      </c>
    </row>
    <row r="98" spans="1:7" x14ac:dyDescent="0.35">
      <c r="A98" t="s">
        <v>9</v>
      </c>
      <c r="B98" s="3">
        <v>45323</v>
      </c>
      <c r="C98" t="s">
        <v>15</v>
      </c>
      <c r="D98" s="2">
        <v>156293</v>
      </c>
      <c r="E98" s="2">
        <v>114616</v>
      </c>
      <c r="F98" s="2">
        <v>41677</v>
      </c>
      <c r="G98" s="1">
        <v>0.26665941532890097</v>
      </c>
    </row>
    <row r="99" spans="1:7" x14ac:dyDescent="0.35">
      <c r="A99" t="s">
        <v>9</v>
      </c>
      <c r="B99" s="3">
        <v>45323</v>
      </c>
      <c r="C99" t="s">
        <v>16</v>
      </c>
      <c r="D99" s="2">
        <v>69397</v>
      </c>
      <c r="E99" s="2">
        <v>41549</v>
      </c>
      <c r="F99" s="2">
        <v>27848</v>
      </c>
      <c r="G99" s="1">
        <v>0.40128535815669297</v>
      </c>
    </row>
    <row r="100" spans="1:7" x14ac:dyDescent="0.35">
      <c r="A100" t="s">
        <v>9</v>
      </c>
      <c r="B100" s="3">
        <v>45323</v>
      </c>
      <c r="C100" t="s">
        <v>17</v>
      </c>
      <c r="D100" s="2">
        <v>260283</v>
      </c>
      <c r="E100" s="2">
        <v>168157</v>
      </c>
      <c r="F100" s="2">
        <v>92126</v>
      </c>
      <c r="G100" s="1">
        <v>0.353945513152991</v>
      </c>
    </row>
    <row r="101" spans="1:7" x14ac:dyDescent="0.35">
      <c r="A101" t="s">
        <v>9</v>
      </c>
      <c r="B101" s="3">
        <v>45323</v>
      </c>
      <c r="C101" t="s">
        <v>18</v>
      </c>
      <c r="D101" s="2">
        <v>97730</v>
      </c>
      <c r="E101" s="2">
        <v>76489</v>
      </c>
      <c r="F101" s="2">
        <v>21241</v>
      </c>
      <c r="G101" s="1">
        <v>0.217343702036222</v>
      </c>
    </row>
    <row r="102" spans="1:7" x14ac:dyDescent="0.35">
      <c r="A102" t="s">
        <v>11</v>
      </c>
      <c r="B102" s="3">
        <v>45323</v>
      </c>
      <c r="C102" t="s">
        <v>19</v>
      </c>
      <c r="D102" s="2">
        <v>341427</v>
      </c>
      <c r="E102" s="2">
        <v>149282</v>
      </c>
      <c r="F102" s="2">
        <v>192145</v>
      </c>
      <c r="G102" s="1">
        <v>0.56277037258330498</v>
      </c>
    </row>
    <row r="103" spans="1:7" x14ac:dyDescent="0.35">
      <c r="A103" t="s">
        <v>9</v>
      </c>
      <c r="B103" s="3">
        <v>45323</v>
      </c>
      <c r="C103" t="s">
        <v>20</v>
      </c>
      <c r="D103" s="2">
        <v>35202</v>
      </c>
      <c r="E103" s="2">
        <v>32050</v>
      </c>
      <c r="F103" s="2">
        <v>3152</v>
      </c>
      <c r="G103" s="1">
        <v>8.95403670246009E-2</v>
      </c>
    </row>
    <row r="104" spans="1:7" x14ac:dyDescent="0.35">
      <c r="A104" t="s">
        <v>9</v>
      </c>
      <c r="B104" s="3">
        <v>45323</v>
      </c>
      <c r="C104" t="s">
        <v>21</v>
      </c>
      <c r="D104" s="2">
        <v>36174</v>
      </c>
      <c r="E104" s="2">
        <v>28094</v>
      </c>
      <c r="F104" s="2">
        <v>8080</v>
      </c>
      <c r="G104" s="1">
        <v>0.22336484768065501</v>
      </c>
    </row>
    <row r="105" spans="1:7" x14ac:dyDescent="0.35">
      <c r="A105" t="s">
        <v>11</v>
      </c>
      <c r="B105" s="3">
        <v>45323</v>
      </c>
      <c r="C105" t="s">
        <v>22</v>
      </c>
      <c r="D105" s="2">
        <v>16349</v>
      </c>
      <c r="E105" s="2">
        <v>6062</v>
      </c>
      <c r="F105" s="2">
        <v>10287</v>
      </c>
      <c r="G105" s="1">
        <v>0.62921279588965695</v>
      </c>
    </row>
    <row r="106" spans="1:7" x14ac:dyDescent="0.35">
      <c r="A106" t="s">
        <v>11</v>
      </c>
      <c r="B106" s="3">
        <v>45323</v>
      </c>
      <c r="C106" t="s">
        <v>23</v>
      </c>
      <c r="D106" s="2">
        <v>36376</v>
      </c>
      <c r="E106" s="2">
        <v>24251</v>
      </c>
      <c r="F106" s="2">
        <v>12125</v>
      </c>
      <c r="G106" s="1">
        <v>0.33332416978227403</v>
      </c>
    </row>
    <row r="107" spans="1:7" x14ac:dyDescent="0.35">
      <c r="A107" t="s">
        <v>9</v>
      </c>
      <c r="B107" s="3">
        <v>45323</v>
      </c>
      <c r="C107" t="s">
        <v>24</v>
      </c>
      <c r="D107" s="2">
        <v>25976</v>
      </c>
      <c r="E107" s="2">
        <v>15440</v>
      </c>
      <c r="F107" s="2">
        <v>10536</v>
      </c>
      <c r="G107" s="1">
        <v>0.40560517400677598</v>
      </c>
    </row>
    <row r="108" spans="1:7" x14ac:dyDescent="0.35">
      <c r="A108" t="s">
        <v>11</v>
      </c>
      <c r="B108" s="3">
        <v>45323</v>
      </c>
      <c r="C108" t="s">
        <v>25</v>
      </c>
      <c r="D108" s="2">
        <v>216261</v>
      </c>
      <c r="E108" s="2">
        <v>105938</v>
      </c>
      <c r="F108" s="2">
        <v>110323</v>
      </c>
      <c r="G108" s="1">
        <v>0.51013821262271097</v>
      </c>
    </row>
    <row r="109" spans="1:7" x14ac:dyDescent="0.35">
      <c r="A109" t="s">
        <v>9</v>
      </c>
      <c r="B109" s="3">
        <v>45323</v>
      </c>
      <c r="C109" t="s">
        <v>26</v>
      </c>
      <c r="D109" s="2">
        <v>178031</v>
      </c>
      <c r="E109" s="2">
        <v>135164</v>
      </c>
      <c r="F109" s="2">
        <v>42867</v>
      </c>
      <c r="G109" s="1">
        <v>0.240783908420444</v>
      </c>
    </row>
    <row r="110" spans="1:7" x14ac:dyDescent="0.35">
      <c r="A110" t="s">
        <v>9</v>
      </c>
      <c r="B110" s="3">
        <v>45323</v>
      </c>
      <c r="C110" t="s">
        <v>27</v>
      </c>
      <c r="D110" s="2">
        <v>5464</v>
      </c>
      <c r="E110" s="2">
        <v>2941</v>
      </c>
      <c r="F110" s="2">
        <v>2523</v>
      </c>
      <c r="G110" s="1">
        <v>0.46174963396778901</v>
      </c>
    </row>
    <row r="111" spans="1:7" x14ac:dyDescent="0.35">
      <c r="A111" t="s">
        <v>9</v>
      </c>
      <c r="B111" s="3">
        <v>45323</v>
      </c>
      <c r="C111" t="s">
        <v>28</v>
      </c>
      <c r="D111" s="2">
        <v>23146</v>
      </c>
      <c r="E111" s="2">
        <v>15085</v>
      </c>
      <c r="F111" s="2">
        <v>8061</v>
      </c>
      <c r="G111" s="1">
        <v>0.34826751922578397</v>
      </c>
    </row>
    <row r="112" spans="1:7" x14ac:dyDescent="0.35">
      <c r="A112" t="s">
        <v>9</v>
      </c>
      <c r="B112" s="3">
        <v>45323</v>
      </c>
      <c r="C112" t="s">
        <v>29</v>
      </c>
      <c r="D112" s="2">
        <v>401631</v>
      </c>
      <c r="E112" s="2">
        <v>207099</v>
      </c>
      <c r="F112" s="2">
        <v>194532</v>
      </c>
      <c r="G112" s="1">
        <v>0.48435504231496102</v>
      </c>
    </row>
    <row r="113" spans="1:7" x14ac:dyDescent="0.35">
      <c r="A113" t="s">
        <v>11</v>
      </c>
      <c r="B113" s="3">
        <v>45323</v>
      </c>
      <c r="C113" t="s">
        <v>30</v>
      </c>
      <c r="D113" s="2">
        <v>376312</v>
      </c>
      <c r="E113" s="2">
        <v>234727</v>
      </c>
      <c r="F113" s="2">
        <v>141585</v>
      </c>
      <c r="G113" s="1">
        <v>0.376243648887094</v>
      </c>
    </row>
    <row r="114" spans="1:7" x14ac:dyDescent="0.35">
      <c r="A114" t="s">
        <v>9</v>
      </c>
      <c r="B114" s="3">
        <v>45323</v>
      </c>
      <c r="C114" t="s">
        <v>31</v>
      </c>
      <c r="D114" s="2">
        <v>65515</v>
      </c>
      <c r="E114" s="2">
        <v>58765</v>
      </c>
      <c r="F114" s="2">
        <v>6750</v>
      </c>
      <c r="G114" s="1">
        <v>0.103029840494543</v>
      </c>
    </row>
    <row r="115" spans="1:7" x14ac:dyDescent="0.35">
      <c r="A115" t="s">
        <v>9</v>
      </c>
      <c r="B115" s="3">
        <v>45323</v>
      </c>
      <c r="C115" t="s">
        <v>32</v>
      </c>
      <c r="D115" s="2">
        <v>34162</v>
      </c>
      <c r="E115" s="2">
        <v>29841</v>
      </c>
      <c r="F115" s="2">
        <v>4321</v>
      </c>
      <c r="G115" s="1">
        <v>0.12648556876061101</v>
      </c>
    </row>
    <row r="116" spans="1:7" x14ac:dyDescent="0.35">
      <c r="A116" t="s">
        <v>9</v>
      </c>
      <c r="B116" s="3">
        <v>45323</v>
      </c>
      <c r="C116" t="s">
        <v>33</v>
      </c>
      <c r="D116" s="2">
        <v>10424</v>
      </c>
      <c r="E116" s="2">
        <v>3755</v>
      </c>
      <c r="F116" s="2">
        <v>6669</v>
      </c>
      <c r="G116" s="1">
        <v>0.63977359938603195</v>
      </c>
    </row>
    <row r="117" spans="1:7" x14ac:dyDescent="0.35">
      <c r="A117" t="s">
        <v>9</v>
      </c>
      <c r="B117" s="3">
        <v>45292</v>
      </c>
      <c r="C117" t="s">
        <v>10</v>
      </c>
      <c r="D117" s="2">
        <v>8906</v>
      </c>
      <c r="E117" s="2">
        <v>9246</v>
      </c>
      <c r="F117" s="2">
        <v>-340</v>
      </c>
      <c r="G117" s="1">
        <v>-3.8176510217830702E-2</v>
      </c>
    </row>
    <row r="118" spans="1:7" x14ac:dyDescent="0.35">
      <c r="A118" t="s">
        <v>11</v>
      </c>
      <c r="B118" s="3">
        <v>45292</v>
      </c>
      <c r="C118" t="s">
        <v>12</v>
      </c>
      <c r="D118" s="2">
        <v>852844</v>
      </c>
      <c r="E118" s="2">
        <v>298070</v>
      </c>
      <c r="F118" s="2">
        <v>554774</v>
      </c>
      <c r="G118" s="1">
        <v>0.65049880165657503</v>
      </c>
    </row>
    <row r="119" spans="1:7" x14ac:dyDescent="0.35">
      <c r="A119" t="s">
        <v>11</v>
      </c>
      <c r="B119" s="3">
        <v>45292</v>
      </c>
      <c r="C119" t="s">
        <v>13</v>
      </c>
      <c r="D119" s="2">
        <v>21070</v>
      </c>
      <c r="E119" s="2">
        <v>14496</v>
      </c>
      <c r="F119" s="2">
        <v>6574</v>
      </c>
      <c r="G119" s="1">
        <v>0.31200759373516801</v>
      </c>
    </row>
    <row r="120" spans="1:7" x14ac:dyDescent="0.35">
      <c r="A120" t="s">
        <v>9</v>
      </c>
      <c r="B120" s="3">
        <v>45292</v>
      </c>
      <c r="C120" t="s">
        <v>14</v>
      </c>
      <c r="D120" s="2">
        <v>21767</v>
      </c>
      <c r="E120" s="2">
        <v>17867</v>
      </c>
      <c r="F120" s="2">
        <v>3900</v>
      </c>
      <c r="G120" s="1">
        <v>0.179170303670694</v>
      </c>
    </row>
    <row r="121" spans="1:7" x14ac:dyDescent="0.35">
      <c r="A121" t="s">
        <v>9</v>
      </c>
      <c r="B121" s="3">
        <v>45292</v>
      </c>
      <c r="C121" t="s">
        <v>15</v>
      </c>
      <c r="D121" s="2">
        <v>166715</v>
      </c>
      <c r="E121" s="2">
        <v>114187</v>
      </c>
      <c r="F121" s="2">
        <v>52528</v>
      </c>
      <c r="G121" s="1">
        <v>0.31507662777794399</v>
      </c>
    </row>
    <row r="122" spans="1:7" x14ac:dyDescent="0.35">
      <c r="A122" t="s">
        <v>9</v>
      </c>
      <c r="B122" s="3">
        <v>45292</v>
      </c>
      <c r="C122" t="s">
        <v>16</v>
      </c>
      <c r="D122" s="2">
        <v>67059</v>
      </c>
      <c r="E122" s="2">
        <v>44203</v>
      </c>
      <c r="F122" s="2">
        <v>22856</v>
      </c>
      <c r="G122" s="1">
        <v>0.340834190787217</v>
      </c>
    </row>
    <row r="123" spans="1:7" x14ac:dyDescent="0.35">
      <c r="A123" t="s">
        <v>9</v>
      </c>
      <c r="B123" s="3">
        <v>45292</v>
      </c>
      <c r="C123" t="s">
        <v>17</v>
      </c>
      <c r="D123" s="2">
        <v>273354</v>
      </c>
      <c r="E123" s="2">
        <v>168264</v>
      </c>
      <c r="F123" s="2">
        <v>105090</v>
      </c>
      <c r="G123" s="1">
        <v>0.38444654184683602</v>
      </c>
    </row>
    <row r="124" spans="1:7" x14ac:dyDescent="0.35">
      <c r="A124" t="s">
        <v>9</v>
      </c>
      <c r="B124" s="3">
        <v>45292</v>
      </c>
      <c r="C124" t="s">
        <v>18</v>
      </c>
      <c r="D124" s="2">
        <v>98982</v>
      </c>
      <c r="E124" s="2">
        <v>78353</v>
      </c>
      <c r="F124" s="2">
        <v>20629</v>
      </c>
      <c r="G124" s="1">
        <v>0.20841163039744601</v>
      </c>
    </row>
    <row r="125" spans="1:7" x14ac:dyDescent="0.35">
      <c r="A125" t="s">
        <v>11</v>
      </c>
      <c r="B125" s="3">
        <v>45292</v>
      </c>
      <c r="C125" t="s">
        <v>19</v>
      </c>
      <c r="D125" s="2">
        <v>354958</v>
      </c>
      <c r="E125" s="2">
        <v>155040</v>
      </c>
      <c r="F125" s="2">
        <v>199918</v>
      </c>
      <c r="G125" s="1">
        <v>0.56321592977197299</v>
      </c>
    </row>
    <row r="126" spans="1:7" x14ac:dyDescent="0.35">
      <c r="A126" t="s">
        <v>9</v>
      </c>
      <c r="B126" s="3">
        <v>45292</v>
      </c>
      <c r="C126" t="s">
        <v>20</v>
      </c>
      <c r="D126" s="2">
        <v>37140</v>
      </c>
      <c r="E126" s="2">
        <v>31830</v>
      </c>
      <c r="F126" s="2">
        <v>5310</v>
      </c>
      <c r="G126" s="1">
        <v>0.14297253634894999</v>
      </c>
    </row>
    <row r="127" spans="1:7" x14ac:dyDescent="0.35">
      <c r="A127" t="s">
        <v>9</v>
      </c>
      <c r="B127" s="3">
        <v>45292</v>
      </c>
      <c r="C127" t="s">
        <v>21</v>
      </c>
      <c r="D127" s="2">
        <v>34763</v>
      </c>
      <c r="E127" s="2">
        <v>29008</v>
      </c>
      <c r="F127" s="2">
        <v>5755</v>
      </c>
      <c r="G127" s="1">
        <v>0.165549578574922</v>
      </c>
    </row>
    <row r="128" spans="1:7" x14ac:dyDescent="0.35">
      <c r="A128" t="s">
        <v>11</v>
      </c>
      <c r="B128" s="3">
        <v>45292</v>
      </c>
      <c r="C128" t="s">
        <v>22</v>
      </c>
      <c r="D128" s="2">
        <v>15556</v>
      </c>
      <c r="E128" s="2">
        <v>6937</v>
      </c>
      <c r="F128" s="2">
        <v>8619</v>
      </c>
      <c r="G128" s="1">
        <v>0.55406274106454101</v>
      </c>
    </row>
    <row r="129" spans="1:7" x14ac:dyDescent="0.35">
      <c r="A129" t="s">
        <v>11</v>
      </c>
      <c r="B129" s="3">
        <v>45292</v>
      </c>
      <c r="C129" t="s">
        <v>23</v>
      </c>
      <c r="D129" s="2">
        <v>37786</v>
      </c>
      <c r="E129" s="2">
        <v>22672</v>
      </c>
      <c r="F129" s="2">
        <v>15114</v>
      </c>
      <c r="G129" s="1">
        <v>0.39998941406870298</v>
      </c>
    </row>
    <row r="130" spans="1:7" x14ac:dyDescent="0.35">
      <c r="A130" t="s">
        <v>9</v>
      </c>
      <c r="B130" s="3">
        <v>45292</v>
      </c>
      <c r="C130" t="s">
        <v>24</v>
      </c>
      <c r="D130" s="2">
        <v>26581</v>
      </c>
      <c r="E130" s="2">
        <v>17479</v>
      </c>
      <c r="F130" s="2">
        <v>9102</v>
      </c>
      <c r="G130" s="1">
        <v>0.342425040442421</v>
      </c>
    </row>
    <row r="131" spans="1:7" x14ac:dyDescent="0.35">
      <c r="A131" t="s">
        <v>11</v>
      </c>
      <c r="B131" s="3">
        <v>45292</v>
      </c>
      <c r="C131" t="s">
        <v>25</v>
      </c>
      <c r="D131" s="2">
        <v>226523</v>
      </c>
      <c r="E131" s="2">
        <v>105052</v>
      </c>
      <c r="F131" s="2">
        <v>121471</v>
      </c>
      <c r="G131" s="1">
        <v>0.53624135297519504</v>
      </c>
    </row>
    <row r="132" spans="1:7" x14ac:dyDescent="0.35">
      <c r="A132" t="s">
        <v>9</v>
      </c>
      <c r="B132" s="3">
        <v>45292</v>
      </c>
      <c r="C132" t="s">
        <v>26</v>
      </c>
      <c r="D132" s="2">
        <v>179433</v>
      </c>
      <c r="E132" s="2">
        <v>133285</v>
      </c>
      <c r="F132" s="2">
        <v>46148</v>
      </c>
      <c r="G132" s="1">
        <v>0.25718791972491101</v>
      </c>
    </row>
    <row r="133" spans="1:7" x14ac:dyDescent="0.35">
      <c r="A133" t="s">
        <v>9</v>
      </c>
      <c r="B133" s="3">
        <v>45292</v>
      </c>
      <c r="C133" t="s">
        <v>27</v>
      </c>
      <c r="D133" s="2">
        <v>5165</v>
      </c>
      <c r="E133" s="2">
        <v>2941</v>
      </c>
      <c r="F133" s="2">
        <v>2224</v>
      </c>
      <c r="G133" s="1">
        <v>0.43059051306873197</v>
      </c>
    </row>
    <row r="134" spans="1:7" x14ac:dyDescent="0.35">
      <c r="A134" t="s">
        <v>9</v>
      </c>
      <c r="B134" s="3">
        <v>45292</v>
      </c>
      <c r="C134" t="s">
        <v>28</v>
      </c>
      <c r="D134" s="2">
        <v>22012</v>
      </c>
      <c r="E134" s="2">
        <v>15990</v>
      </c>
      <c r="F134" s="2">
        <v>6022</v>
      </c>
      <c r="G134" s="1">
        <v>0.27357804833727101</v>
      </c>
    </row>
    <row r="135" spans="1:7" x14ac:dyDescent="0.35">
      <c r="A135" t="s">
        <v>9</v>
      </c>
      <c r="B135" s="3">
        <v>45292</v>
      </c>
      <c r="C135" t="s">
        <v>29</v>
      </c>
      <c r="D135" s="2">
        <v>435260</v>
      </c>
      <c r="E135" s="2">
        <v>199785</v>
      </c>
      <c r="F135" s="2">
        <v>235475</v>
      </c>
      <c r="G135" s="1">
        <v>0.54099848366493597</v>
      </c>
    </row>
    <row r="136" spans="1:7" x14ac:dyDescent="0.35">
      <c r="A136" t="s">
        <v>11</v>
      </c>
      <c r="B136" s="3">
        <v>45292</v>
      </c>
      <c r="C136" t="s">
        <v>30</v>
      </c>
      <c r="D136" s="2">
        <v>379992</v>
      </c>
      <c r="E136" s="2">
        <v>248538</v>
      </c>
      <c r="F136" s="2">
        <v>131454</v>
      </c>
      <c r="G136" s="1">
        <v>0.34593886187077599</v>
      </c>
    </row>
    <row r="137" spans="1:7" x14ac:dyDescent="0.35">
      <c r="A137" t="s">
        <v>9</v>
      </c>
      <c r="B137" s="3">
        <v>45292</v>
      </c>
      <c r="C137" t="s">
        <v>31</v>
      </c>
      <c r="D137" s="2">
        <v>70551</v>
      </c>
      <c r="E137" s="2">
        <v>60761</v>
      </c>
      <c r="F137" s="2">
        <v>9790</v>
      </c>
      <c r="G137" s="1">
        <v>0.138764865133024</v>
      </c>
    </row>
    <row r="138" spans="1:7" x14ac:dyDescent="0.35">
      <c r="A138" t="s">
        <v>9</v>
      </c>
      <c r="B138" s="3">
        <v>45292</v>
      </c>
      <c r="C138" t="s">
        <v>32</v>
      </c>
      <c r="D138" s="2">
        <v>35155</v>
      </c>
      <c r="E138" s="2">
        <v>28405</v>
      </c>
      <c r="F138" s="2">
        <v>6750</v>
      </c>
      <c r="G138" s="1">
        <v>0.19200682690940099</v>
      </c>
    </row>
    <row r="139" spans="1:7" x14ac:dyDescent="0.35">
      <c r="A139" t="s">
        <v>9</v>
      </c>
      <c r="B139" s="3">
        <v>45292</v>
      </c>
      <c r="C139" t="s">
        <v>33</v>
      </c>
      <c r="D139" s="2">
        <v>7859</v>
      </c>
      <c r="E139" s="2">
        <v>4558</v>
      </c>
      <c r="F139" s="2">
        <v>3301</v>
      </c>
      <c r="G139" s="1">
        <v>0.42002799338338198</v>
      </c>
    </row>
    <row r="140" spans="1:7" x14ac:dyDescent="0.35">
      <c r="A140" t="s">
        <v>9</v>
      </c>
      <c r="B140" s="3">
        <v>45261</v>
      </c>
      <c r="C140" t="s">
        <v>10</v>
      </c>
      <c r="D140" s="2">
        <v>9004</v>
      </c>
      <c r="E140" s="2">
        <v>7427</v>
      </c>
      <c r="F140" s="2">
        <v>1577</v>
      </c>
      <c r="G140" s="1">
        <v>0.175144380275433</v>
      </c>
    </row>
    <row r="141" spans="1:7" x14ac:dyDescent="0.35">
      <c r="A141" t="s">
        <v>11</v>
      </c>
      <c r="B141" s="3">
        <v>45261</v>
      </c>
      <c r="C141" t="s">
        <v>12</v>
      </c>
      <c r="D141" s="2">
        <v>874347</v>
      </c>
      <c r="E141" s="2">
        <v>260286</v>
      </c>
      <c r="F141" s="2">
        <v>614061</v>
      </c>
      <c r="G141" s="1">
        <v>0.70230812251886299</v>
      </c>
    </row>
    <row r="142" spans="1:7" x14ac:dyDescent="0.35">
      <c r="A142" t="s">
        <v>11</v>
      </c>
      <c r="B142" s="3">
        <v>45261</v>
      </c>
      <c r="C142" t="s">
        <v>13</v>
      </c>
      <c r="D142" s="2">
        <v>21481</v>
      </c>
      <c r="E142" s="2">
        <v>12518</v>
      </c>
      <c r="F142" s="2">
        <v>8963</v>
      </c>
      <c r="G142" s="1">
        <v>0.41725245565848901</v>
      </c>
    </row>
    <row r="143" spans="1:7" x14ac:dyDescent="0.35">
      <c r="A143" t="s">
        <v>9</v>
      </c>
      <c r="B143" s="3">
        <v>45261</v>
      </c>
      <c r="C143" t="s">
        <v>14</v>
      </c>
      <c r="D143" s="2">
        <v>22835</v>
      </c>
      <c r="E143" s="2">
        <v>14453</v>
      </c>
      <c r="F143" s="2">
        <v>8382</v>
      </c>
      <c r="G143" s="1">
        <v>0.36706809721918099</v>
      </c>
    </row>
    <row r="144" spans="1:7" x14ac:dyDescent="0.35">
      <c r="A144" t="s">
        <v>9</v>
      </c>
      <c r="B144" s="3">
        <v>45261</v>
      </c>
      <c r="C144" t="s">
        <v>15</v>
      </c>
      <c r="D144" s="2">
        <v>172596</v>
      </c>
      <c r="E144" s="2">
        <v>99636</v>
      </c>
      <c r="F144" s="2">
        <v>72960</v>
      </c>
      <c r="G144" s="1">
        <v>0.42272126816380401</v>
      </c>
    </row>
    <row r="145" spans="1:7" x14ac:dyDescent="0.35">
      <c r="A145" t="s">
        <v>9</v>
      </c>
      <c r="B145" s="3">
        <v>45261</v>
      </c>
      <c r="C145" t="s">
        <v>16</v>
      </c>
      <c r="D145" s="2">
        <v>64842</v>
      </c>
      <c r="E145" s="2">
        <v>36567</v>
      </c>
      <c r="F145" s="2">
        <v>28275</v>
      </c>
      <c r="G145" s="1">
        <v>0.43605996113630002</v>
      </c>
    </row>
    <row r="146" spans="1:7" x14ac:dyDescent="0.35">
      <c r="A146" t="s">
        <v>9</v>
      </c>
      <c r="B146" s="3">
        <v>45261</v>
      </c>
      <c r="C146" t="s">
        <v>17</v>
      </c>
      <c r="D146" s="2">
        <v>275984</v>
      </c>
      <c r="E146" s="2">
        <v>142167</v>
      </c>
      <c r="F146" s="2">
        <v>133817</v>
      </c>
      <c r="G146" s="1">
        <v>0.48487231143834397</v>
      </c>
    </row>
    <row r="147" spans="1:7" x14ac:dyDescent="0.35">
      <c r="A147" t="s">
        <v>9</v>
      </c>
      <c r="B147" s="3">
        <v>45261</v>
      </c>
      <c r="C147" t="s">
        <v>18</v>
      </c>
      <c r="D147" s="2">
        <v>99746</v>
      </c>
      <c r="E147" s="2">
        <v>60969</v>
      </c>
      <c r="F147" s="2">
        <v>38777</v>
      </c>
      <c r="G147" s="1">
        <v>0.38875744390752498</v>
      </c>
    </row>
    <row r="148" spans="1:7" x14ac:dyDescent="0.35">
      <c r="A148" t="s">
        <v>11</v>
      </c>
      <c r="B148" s="3">
        <v>45261</v>
      </c>
      <c r="C148" t="s">
        <v>19</v>
      </c>
      <c r="D148" s="2">
        <v>359323</v>
      </c>
      <c r="E148" s="2">
        <v>128772</v>
      </c>
      <c r="F148" s="2">
        <v>230551</v>
      </c>
      <c r="G148" s="1">
        <v>0.64162605789220295</v>
      </c>
    </row>
    <row r="149" spans="1:7" x14ac:dyDescent="0.35">
      <c r="A149" t="s">
        <v>9</v>
      </c>
      <c r="B149" s="3">
        <v>45261</v>
      </c>
      <c r="C149" t="s">
        <v>20</v>
      </c>
      <c r="D149" s="2">
        <v>41647</v>
      </c>
      <c r="E149" s="2">
        <v>26499</v>
      </c>
      <c r="F149" s="2">
        <v>15148</v>
      </c>
      <c r="G149" s="1">
        <v>0.36372367757581597</v>
      </c>
    </row>
    <row r="150" spans="1:7" x14ac:dyDescent="0.35">
      <c r="A150" t="s">
        <v>9</v>
      </c>
      <c r="B150" s="3">
        <v>45261</v>
      </c>
      <c r="C150" t="s">
        <v>21</v>
      </c>
      <c r="D150" s="2">
        <v>36674</v>
      </c>
      <c r="E150" s="2">
        <v>23752</v>
      </c>
      <c r="F150" s="2">
        <v>12922</v>
      </c>
      <c r="G150" s="1">
        <v>0.35234771227572698</v>
      </c>
    </row>
    <row r="151" spans="1:7" x14ac:dyDescent="0.35">
      <c r="A151" t="s">
        <v>11</v>
      </c>
      <c r="B151" s="3">
        <v>45261</v>
      </c>
      <c r="C151" t="s">
        <v>22</v>
      </c>
      <c r="D151" s="2">
        <v>15770</v>
      </c>
      <c r="E151" s="2">
        <v>5955</v>
      </c>
      <c r="F151" s="2">
        <v>9815</v>
      </c>
      <c r="G151" s="1">
        <v>0.622384273937857</v>
      </c>
    </row>
    <row r="152" spans="1:7" x14ac:dyDescent="0.35">
      <c r="A152" t="s">
        <v>11</v>
      </c>
      <c r="B152" s="3">
        <v>45261</v>
      </c>
      <c r="C152" t="s">
        <v>23</v>
      </c>
      <c r="D152" s="2">
        <v>37160</v>
      </c>
      <c r="E152" s="2">
        <v>21133</v>
      </c>
      <c r="F152" s="2">
        <v>16027</v>
      </c>
      <c r="G152" s="1">
        <v>0.43129709364908497</v>
      </c>
    </row>
    <row r="153" spans="1:7" x14ac:dyDescent="0.35">
      <c r="A153" t="s">
        <v>9</v>
      </c>
      <c r="B153" s="3">
        <v>45261</v>
      </c>
      <c r="C153" t="s">
        <v>24</v>
      </c>
      <c r="D153" s="2">
        <v>25578</v>
      </c>
      <c r="E153" s="2">
        <v>14654</v>
      </c>
      <c r="F153" s="2">
        <v>10924</v>
      </c>
      <c r="G153" s="1">
        <v>0.42708577683947102</v>
      </c>
    </row>
    <row r="154" spans="1:7" x14ac:dyDescent="0.35">
      <c r="A154" t="s">
        <v>11</v>
      </c>
      <c r="B154" s="3">
        <v>45261</v>
      </c>
      <c r="C154" t="s">
        <v>25</v>
      </c>
      <c r="D154" s="2">
        <v>235954</v>
      </c>
      <c r="E154" s="2">
        <v>89607</v>
      </c>
      <c r="F154" s="2">
        <v>146347</v>
      </c>
      <c r="G154" s="1">
        <v>0.62023530010086703</v>
      </c>
    </row>
    <row r="155" spans="1:7" x14ac:dyDescent="0.35">
      <c r="A155" t="s">
        <v>9</v>
      </c>
      <c r="B155" s="3">
        <v>45261</v>
      </c>
      <c r="C155" t="s">
        <v>26</v>
      </c>
      <c r="D155" s="2">
        <v>185704</v>
      </c>
      <c r="E155" s="2">
        <v>117172</v>
      </c>
      <c r="F155" s="2">
        <v>68532</v>
      </c>
      <c r="G155" s="1">
        <v>0.369038900616034</v>
      </c>
    </row>
    <row r="156" spans="1:7" x14ac:dyDescent="0.35">
      <c r="A156" t="s">
        <v>9</v>
      </c>
      <c r="B156" s="3">
        <v>45261</v>
      </c>
      <c r="C156" t="s">
        <v>27</v>
      </c>
      <c r="D156" s="2">
        <v>5065</v>
      </c>
      <c r="E156" s="2">
        <v>2598</v>
      </c>
      <c r="F156" s="2">
        <v>2467</v>
      </c>
      <c r="G156" s="1">
        <v>0.48706811451135201</v>
      </c>
    </row>
    <row r="157" spans="1:7" x14ac:dyDescent="0.35">
      <c r="A157" t="s">
        <v>9</v>
      </c>
      <c r="B157" s="3">
        <v>45261</v>
      </c>
      <c r="C157" t="s">
        <v>28</v>
      </c>
      <c r="D157" s="2">
        <v>23398</v>
      </c>
      <c r="E157" s="2">
        <v>13389</v>
      </c>
      <c r="F157" s="2">
        <v>10009</v>
      </c>
      <c r="G157" s="1">
        <v>0.427771604410633</v>
      </c>
    </row>
    <row r="158" spans="1:7" x14ac:dyDescent="0.35">
      <c r="A158" t="s">
        <v>9</v>
      </c>
      <c r="B158" s="3">
        <v>45261</v>
      </c>
      <c r="C158" t="s">
        <v>29</v>
      </c>
      <c r="D158" s="2">
        <v>443044</v>
      </c>
      <c r="E158" s="2">
        <v>191402</v>
      </c>
      <c r="F158" s="2">
        <v>251642</v>
      </c>
      <c r="G158" s="1">
        <v>0.56798421827177403</v>
      </c>
    </row>
    <row r="159" spans="1:7" x14ac:dyDescent="0.35">
      <c r="A159" t="s">
        <v>11</v>
      </c>
      <c r="B159" s="3">
        <v>45261</v>
      </c>
      <c r="C159" t="s">
        <v>30</v>
      </c>
      <c r="D159" s="2">
        <v>391644</v>
      </c>
      <c r="E159" s="2">
        <v>200966</v>
      </c>
      <c r="F159" s="2">
        <v>190678</v>
      </c>
      <c r="G159" s="1">
        <v>0.48686562286157797</v>
      </c>
    </row>
    <row r="160" spans="1:7" x14ac:dyDescent="0.35">
      <c r="A160" t="s">
        <v>9</v>
      </c>
      <c r="B160" s="3">
        <v>45261</v>
      </c>
      <c r="C160" t="s">
        <v>31</v>
      </c>
      <c r="D160" s="2">
        <v>62721</v>
      </c>
      <c r="E160" s="2">
        <v>50002</v>
      </c>
      <c r="F160" s="2">
        <v>12719</v>
      </c>
      <c r="G160" s="1">
        <v>0.20278694536120301</v>
      </c>
    </row>
    <row r="161" spans="1:7" x14ac:dyDescent="0.35">
      <c r="A161" t="s">
        <v>9</v>
      </c>
      <c r="B161" s="3">
        <v>45261</v>
      </c>
      <c r="C161" t="s">
        <v>32</v>
      </c>
      <c r="D161" s="2">
        <v>35265</v>
      </c>
      <c r="E161" s="2">
        <v>24547</v>
      </c>
      <c r="F161" s="2">
        <v>10718</v>
      </c>
      <c r="G161" s="1">
        <v>0.30392740677725799</v>
      </c>
    </row>
    <row r="162" spans="1:7" x14ac:dyDescent="0.35">
      <c r="A162" t="s">
        <v>9</v>
      </c>
      <c r="B162" s="3">
        <v>45261</v>
      </c>
      <c r="C162" t="s">
        <v>33</v>
      </c>
      <c r="D162" s="2">
        <v>7531</v>
      </c>
      <c r="E162" s="2">
        <v>3448</v>
      </c>
      <c r="F162" s="2">
        <v>4083</v>
      </c>
      <c r="G162" s="1">
        <v>0.54215907581994405</v>
      </c>
    </row>
    <row r="163" spans="1:7" x14ac:dyDescent="0.35">
      <c r="A163" t="s">
        <v>9</v>
      </c>
      <c r="B163" s="3">
        <v>45231</v>
      </c>
      <c r="C163" t="s">
        <v>10</v>
      </c>
      <c r="D163" s="2">
        <v>8390</v>
      </c>
      <c r="E163" s="2">
        <v>8153</v>
      </c>
      <c r="F163" s="2">
        <v>237</v>
      </c>
      <c r="G163" s="1">
        <v>2.8247914183551801E-2</v>
      </c>
    </row>
    <row r="164" spans="1:7" x14ac:dyDescent="0.35">
      <c r="A164" t="s">
        <v>11</v>
      </c>
      <c r="B164" s="3">
        <v>45231</v>
      </c>
      <c r="C164" t="s">
        <v>12</v>
      </c>
      <c r="D164" s="2">
        <v>857265</v>
      </c>
      <c r="E164" s="2">
        <v>244300</v>
      </c>
      <c r="F164" s="2">
        <v>612965</v>
      </c>
      <c r="G164" s="1">
        <v>0.71502394242153799</v>
      </c>
    </row>
    <row r="165" spans="1:7" x14ac:dyDescent="0.35">
      <c r="A165" t="s">
        <v>11</v>
      </c>
      <c r="B165" s="3">
        <v>45231</v>
      </c>
      <c r="C165" t="s">
        <v>13</v>
      </c>
      <c r="D165" s="2">
        <v>20598</v>
      </c>
      <c r="E165" s="2">
        <v>13952</v>
      </c>
      <c r="F165" s="2">
        <v>6646</v>
      </c>
      <c r="G165" s="1">
        <v>0.32265268472667202</v>
      </c>
    </row>
    <row r="166" spans="1:7" x14ac:dyDescent="0.35">
      <c r="A166" t="s">
        <v>9</v>
      </c>
      <c r="B166" s="3">
        <v>45231</v>
      </c>
      <c r="C166" t="s">
        <v>14</v>
      </c>
      <c r="D166" s="2">
        <v>24243</v>
      </c>
      <c r="E166" s="2">
        <v>15680</v>
      </c>
      <c r="F166" s="2">
        <v>8563</v>
      </c>
      <c r="G166" s="1">
        <v>0.35321536113517299</v>
      </c>
    </row>
    <row r="167" spans="1:7" x14ac:dyDescent="0.35">
      <c r="A167" t="s">
        <v>9</v>
      </c>
      <c r="B167" s="3">
        <v>45231</v>
      </c>
      <c r="C167" t="s">
        <v>15</v>
      </c>
      <c r="D167" s="2">
        <v>157700</v>
      </c>
      <c r="E167" s="2">
        <v>94043</v>
      </c>
      <c r="F167" s="2">
        <v>63657</v>
      </c>
      <c r="G167" s="1">
        <v>0.40365884590995599</v>
      </c>
    </row>
    <row r="168" spans="1:7" x14ac:dyDescent="0.35">
      <c r="A168" t="s">
        <v>9</v>
      </c>
      <c r="B168" s="3">
        <v>45231</v>
      </c>
      <c r="C168" t="s">
        <v>16</v>
      </c>
      <c r="D168" s="2">
        <v>60581</v>
      </c>
      <c r="E168" s="2">
        <v>39600</v>
      </c>
      <c r="F168" s="2">
        <v>20981</v>
      </c>
      <c r="G168" s="1">
        <v>0.34632970733398299</v>
      </c>
    </row>
    <row r="169" spans="1:7" x14ac:dyDescent="0.35">
      <c r="A169" t="s">
        <v>9</v>
      </c>
      <c r="B169" s="3">
        <v>45231</v>
      </c>
      <c r="C169" t="s">
        <v>17</v>
      </c>
      <c r="D169" s="2">
        <v>264787</v>
      </c>
      <c r="E169" s="2">
        <v>138843</v>
      </c>
      <c r="F169" s="2">
        <v>125944</v>
      </c>
      <c r="G169" s="1">
        <v>0.47564268638566098</v>
      </c>
    </row>
    <row r="170" spans="1:7" x14ac:dyDescent="0.35">
      <c r="A170" t="s">
        <v>9</v>
      </c>
      <c r="B170" s="3">
        <v>45231</v>
      </c>
      <c r="C170" t="s">
        <v>18</v>
      </c>
      <c r="D170" s="2">
        <v>88813</v>
      </c>
      <c r="E170" s="2">
        <v>74648</v>
      </c>
      <c r="F170" s="2">
        <v>14165</v>
      </c>
      <c r="G170" s="1">
        <v>0.15949241665071601</v>
      </c>
    </row>
    <row r="171" spans="1:7" x14ac:dyDescent="0.35">
      <c r="A171" t="s">
        <v>11</v>
      </c>
      <c r="B171" s="3">
        <v>45231</v>
      </c>
      <c r="C171" t="s">
        <v>19</v>
      </c>
      <c r="D171" s="2">
        <v>327020</v>
      </c>
      <c r="E171" s="2">
        <v>125150</v>
      </c>
      <c r="F171" s="2">
        <v>201870</v>
      </c>
      <c r="G171" s="1">
        <v>0.61730169408598901</v>
      </c>
    </row>
    <row r="172" spans="1:7" x14ac:dyDescent="0.35">
      <c r="A172" t="s">
        <v>9</v>
      </c>
      <c r="B172" s="3">
        <v>45231</v>
      </c>
      <c r="C172" t="s">
        <v>20</v>
      </c>
      <c r="D172" s="2">
        <v>37820</v>
      </c>
      <c r="E172" s="2">
        <v>28181</v>
      </c>
      <c r="F172" s="2">
        <v>9639</v>
      </c>
      <c r="G172" s="1">
        <v>0.25486515071390797</v>
      </c>
    </row>
    <row r="173" spans="1:7" x14ac:dyDescent="0.35">
      <c r="A173" t="s">
        <v>9</v>
      </c>
      <c r="B173" s="3">
        <v>45231</v>
      </c>
      <c r="C173" t="s">
        <v>21</v>
      </c>
      <c r="D173" s="2">
        <v>33299</v>
      </c>
      <c r="E173" s="2">
        <v>23752</v>
      </c>
      <c r="F173" s="2">
        <v>9547</v>
      </c>
      <c r="G173" s="1">
        <v>0.28670530646566</v>
      </c>
    </row>
    <row r="174" spans="1:7" x14ac:dyDescent="0.35">
      <c r="A174" t="s">
        <v>11</v>
      </c>
      <c r="B174" s="3">
        <v>45231</v>
      </c>
      <c r="C174" t="s">
        <v>22</v>
      </c>
      <c r="D174" s="2">
        <v>15100</v>
      </c>
      <c r="E174" s="2">
        <v>6106</v>
      </c>
      <c r="F174" s="2">
        <v>8994</v>
      </c>
      <c r="G174" s="1">
        <v>0.59562913907284798</v>
      </c>
    </row>
    <row r="175" spans="1:7" x14ac:dyDescent="0.35">
      <c r="A175" t="s">
        <v>11</v>
      </c>
      <c r="B175" s="3">
        <v>45231</v>
      </c>
      <c r="C175" t="s">
        <v>23</v>
      </c>
      <c r="D175" s="2">
        <v>34763</v>
      </c>
      <c r="E175" s="2">
        <v>19970</v>
      </c>
      <c r="F175" s="2">
        <v>14793</v>
      </c>
      <c r="G175" s="1">
        <v>0.42553864741247899</v>
      </c>
    </row>
    <row r="176" spans="1:7" x14ac:dyDescent="0.35">
      <c r="A176" t="s">
        <v>9</v>
      </c>
      <c r="B176" s="3">
        <v>45231</v>
      </c>
      <c r="C176" t="s">
        <v>24</v>
      </c>
      <c r="D176" s="2">
        <v>23157</v>
      </c>
      <c r="E176" s="2">
        <v>15680</v>
      </c>
      <c r="F176" s="2">
        <v>7477</v>
      </c>
      <c r="G176" s="1">
        <v>0.32288292956773301</v>
      </c>
    </row>
    <row r="177" spans="1:7" x14ac:dyDescent="0.35">
      <c r="A177" t="s">
        <v>11</v>
      </c>
      <c r="B177" s="3">
        <v>45231</v>
      </c>
      <c r="C177" t="s">
        <v>25</v>
      </c>
      <c r="D177" s="2">
        <v>233237</v>
      </c>
      <c r="E177" s="2">
        <v>92027</v>
      </c>
      <c r="F177" s="2">
        <v>141210</v>
      </c>
      <c r="G177" s="1">
        <v>0.60543567272774002</v>
      </c>
    </row>
    <row r="178" spans="1:7" x14ac:dyDescent="0.35">
      <c r="A178" t="s">
        <v>9</v>
      </c>
      <c r="B178" s="3">
        <v>45231</v>
      </c>
      <c r="C178" t="s">
        <v>26</v>
      </c>
      <c r="D178" s="2">
        <v>164152</v>
      </c>
      <c r="E178" s="2">
        <v>120508</v>
      </c>
      <c r="F178" s="2">
        <v>43644</v>
      </c>
      <c r="G178" s="1">
        <v>0.26587552999658898</v>
      </c>
    </row>
    <row r="179" spans="1:7" x14ac:dyDescent="0.35">
      <c r="A179" t="s">
        <v>9</v>
      </c>
      <c r="B179" s="3">
        <v>45231</v>
      </c>
      <c r="C179" t="s">
        <v>27</v>
      </c>
      <c r="D179" s="2">
        <v>4472</v>
      </c>
      <c r="E179" s="2">
        <v>2598</v>
      </c>
      <c r="F179" s="2">
        <v>1874</v>
      </c>
      <c r="G179" s="1">
        <v>0.41905187835420399</v>
      </c>
    </row>
    <row r="180" spans="1:7" x14ac:dyDescent="0.35">
      <c r="A180" t="s">
        <v>9</v>
      </c>
      <c r="B180" s="3">
        <v>45231</v>
      </c>
      <c r="C180" t="s">
        <v>28</v>
      </c>
      <c r="D180" s="2">
        <v>21733</v>
      </c>
      <c r="E180" s="2">
        <v>14805</v>
      </c>
      <c r="F180" s="2">
        <v>6928</v>
      </c>
      <c r="G180" s="1">
        <v>0.31877789536649298</v>
      </c>
    </row>
    <row r="181" spans="1:7" x14ac:dyDescent="0.35">
      <c r="A181" t="s">
        <v>9</v>
      </c>
      <c r="B181" s="3">
        <v>45231</v>
      </c>
      <c r="C181" t="s">
        <v>29</v>
      </c>
      <c r="D181" s="2">
        <v>407679</v>
      </c>
      <c r="E181" s="2">
        <v>197043</v>
      </c>
      <c r="F181" s="2">
        <v>210636</v>
      </c>
      <c r="G181" s="1">
        <v>0.51667120455063897</v>
      </c>
    </row>
    <row r="182" spans="1:7" x14ac:dyDescent="0.35">
      <c r="A182" t="s">
        <v>11</v>
      </c>
      <c r="B182" s="3">
        <v>45231</v>
      </c>
      <c r="C182" t="s">
        <v>30</v>
      </c>
      <c r="D182" s="2">
        <v>381869</v>
      </c>
      <c r="E182" s="2">
        <v>213856</v>
      </c>
      <c r="F182" s="2">
        <v>168013</v>
      </c>
      <c r="G182" s="1">
        <v>0.439975488976586</v>
      </c>
    </row>
    <row r="183" spans="1:7" x14ac:dyDescent="0.35">
      <c r="A183" t="s">
        <v>9</v>
      </c>
      <c r="B183" s="3">
        <v>45231</v>
      </c>
      <c r="C183" t="s">
        <v>31</v>
      </c>
      <c r="D183" s="2">
        <v>66256</v>
      </c>
      <c r="E183" s="2">
        <v>53195</v>
      </c>
      <c r="F183" s="2">
        <v>13061</v>
      </c>
      <c r="G183" s="1">
        <v>0.197129316590196</v>
      </c>
    </row>
    <row r="184" spans="1:7" x14ac:dyDescent="0.35">
      <c r="A184" t="s">
        <v>9</v>
      </c>
      <c r="B184" s="3">
        <v>45231</v>
      </c>
      <c r="C184" t="s">
        <v>32</v>
      </c>
      <c r="D184" s="2">
        <v>31528</v>
      </c>
      <c r="E184" s="2">
        <v>26861</v>
      </c>
      <c r="F184" s="2">
        <v>4667</v>
      </c>
      <c r="G184" s="1">
        <v>0.148027150469424</v>
      </c>
    </row>
    <row r="185" spans="1:7" x14ac:dyDescent="0.35">
      <c r="A185" t="s">
        <v>9</v>
      </c>
      <c r="B185" s="3">
        <v>45231</v>
      </c>
      <c r="C185" t="s">
        <v>33</v>
      </c>
      <c r="D185" s="2">
        <v>5992</v>
      </c>
      <c r="E185" s="2">
        <v>3516</v>
      </c>
      <c r="F185" s="2">
        <v>2476</v>
      </c>
      <c r="G185" s="1">
        <v>0.41321762349799701</v>
      </c>
    </row>
    <row r="186" spans="1:7" x14ac:dyDescent="0.35">
      <c r="A186" t="s">
        <v>9</v>
      </c>
      <c r="B186" s="3">
        <v>45200</v>
      </c>
      <c r="C186" t="s">
        <v>10</v>
      </c>
      <c r="D186" s="2">
        <v>8505</v>
      </c>
      <c r="E186" s="2">
        <v>8042</v>
      </c>
      <c r="F186" s="2">
        <v>463</v>
      </c>
      <c r="G186" s="1">
        <v>5.4438565549676701E-2</v>
      </c>
    </row>
    <row r="187" spans="1:7" x14ac:dyDescent="0.35">
      <c r="A187" t="s">
        <v>11</v>
      </c>
      <c r="B187" s="3">
        <v>45200</v>
      </c>
      <c r="C187" t="s">
        <v>12</v>
      </c>
      <c r="D187" s="2">
        <v>858010</v>
      </c>
      <c r="E187" s="2">
        <v>252684</v>
      </c>
      <c r="F187" s="2">
        <v>605326</v>
      </c>
      <c r="G187" s="1">
        <v>0.70549993589818305</v>
      </c>
    </row>
    <row r="188" spans="1:7" x14ac:dyDescent="0.35">
      <c r="A188" t="s">
        <v>11</v>
      </c>
      <c r="B188" s="3">
        <v>45200</v>
      </c>
      <c r="C188" t="s">
        <v>13</v>
      </c>
      <c r="D188" s="2">
        <v>20301</v>
      </c>
      <c r="E188" s="2">
        <v>12245</v>
      </c>
      <c r="F188" s="2">
        <v>8056</v>
      </c>
      <c r="G188" s="1">
        <v>0.39682774247573999</v>
      </c>
    </row>
    <row r="189" spans="1:7" x14ac:dyDescent="0.35">
      <c r="A189" t="s">
        <v>9</v>
      </c>
      <c r="B189" s="3">
        <v>45200</v>
      </c>
      <c r="C189" t="s">
        <v>14</v>
      </c>
      <c r="D189" s="2">
        <v>25926</v>
      </c>
      <c r="E189" s="2">
        <v>13657</v>
      </c>
      <c r="F189" s="2">
        <v>12269</v>
      </c>
      <c r="G189" s="1">
        <v>0.473231505052843</v>
      </c>
    </row>
    <row r="190" spans="1:7" x14ac:dyDescent="0.35">
      <c r="A190" t="s">
        <v>9</v>
      </c>
      <c r="B190" s="3">
        <v>45200</v>
      </c>
      <c r="C190" t="s">
        <v>15</v>
      </c>
      <c r="D190" s="2">
        <v>161463</v>
      </c>
      <c r="E190" s="2">
        <v>88894</v>
      </c>
      <c r="F190" s="2">
        <v>72569</v>
      </c>
      <c r="G190" s="1">
        <v>0.44944662244600903</v>
      </c>
    </row>
    <row r="191" spans="1:7" x14ac:dyDescent="0.35">
      <c r="A191" t="s">
        <v>9</v>
      </c>
      <c r="B191" s="3">
        <v>45200</v>
      </c>
      <c r="C191" t="s">
        <v>16</v>
      </c>
      <c r="D191" s="2">
        <v>54190</v>
      </c>
      <c r="E191" s="2">
        <v>35617</v>
      </c>
      <c r="F191" s="2">
        <v>18573</v>
      </c>
      <c r="G191" s="1">
        <v>0.34273851264070898</v>
      </c>
    </row>
    <row r="192" spans="1:7" x14ac:dyDescent="0.35">
      <c r="A192" t="s">
        <v>9</v>
      </c>
      <c r="B192" s="3">
        <v>45200</v>
      </c>
      <c r="C192" t="s">
        <v>17</v>
      </c>
      <c r="D192" s="2">
        <v>266259</v>
      </c>
      <c r="E192" s="2">
        <v>134021</v>
      </c>
      <c r="F192" s="2">
        <v>132238</v>
      </c>
      <c r="G192" s="1">
        <v>0.49665175637255499</v>
      </c>
    </row>
    <row r="193" spans="1:7" x14ac:dyDescent="0.35">
      <c r="A193" t="s">
        <v>9</v>
      </c>
      <c r="B193" s="3">
        <v>45200</v>
      </c>
      <c r="C193" t="s">
        <v>18</v>
      </c>
      <c r="D193" s="2">
        <v>88631</v>
      </c>
      <c r="E193" s="2">
        <v>60889</v>
      </c>
      <c r="F193" s="2">
        <v>27742</v>
      </c>
      <c r="G193" s="1">
        <v>0.31300560751881401</v>
      </c>
    </row>
    <row r="194" spans="1:7" x14ac:dyDescent="0.35">
      <c r="A194" t="s">
        <v>11</v>
      </c>
      <c r="B194" s="3">
        <v>45200</v>
      </c>
      <c r="C194" t="s">
        <v>19</v>
      </c>
      <c r="D194" s="2">
        <v>355400</v>
      </c>
      <c r="E194" s="2">
        <v>123735</v>
      </c>
      <c r="F194" s="2">
        <v>231665</v>
      </c>
      <c r="G194" s="1">
        <v>0.65184299380979205</v>
      </c>
    </row>
    <row r="195" spans="1:7" x14ac:dyDescent="0.35">
      <c r="A195" t="s">
        <v>9</v>
      </c>
      <c r="B195" s="3">
        <v>45200</v>
      </c>
      <c r="C195" t="s">
        <v>20</v>
      </c>
      <c r="D195" s="2">
        <v>39154</v>
      </c>
      <c r="E195" s="2">
        <v>24763</v>
      </c>
      <c r="F195" s="2">
        <v>14391</v>
      </c>
      <c r="G195" s="1">
        <v>0.36754865403279402</v>
      </c>
    </row>
    <row r="196" spans="1:7" x14ac:dyDescent="0.35">
      <c r="A196" t="s">
        <v>9</v>
      </c>
      <c r="B196" s="3">
        <v>45200</v>
      </c>
      <c r="C196" t="s">
        <v>21</v>
      </c>
      <c r="D196" s="2">
        <v>33772</v>
      </c>
      <c r="E196" s="2">
        <v>21824</v>
      </c>
      <c r="F196" s="2">
        <v>11948</v>
      </c>
      <c r="G196" s="1">
        <v>0.35378419992893501</v>
      </c>
    </row>
    <row r="197" spans="1:7" x14ac:dyDescent="0.35">
      <c r="A197" t="s">
        <v>11</v>
      </c>
      <c r="B197" s="3">
        <v>45200</v>
      </c>
      <c r="C197" t="s">
        <v>22</v>
      </c>
      <c r="D197" s="2">
        <v>16320</v>
      </c>
      <c r="E197" s="2">
        <v>5878</v>
      </c>
      <c r="F197" s="2">
        <v>10442</v>
      </c>
      <c r="G197" s="1">
        <v>0.63982843137254897</v>
      </c>
    </row>
    <row r="198" spans="1:7" x14ac:dyDescent="0.35">
      <c r="A198" t="s">
        <v>11</v>
      </c>
      <c r="B198" s="3">
        <v>45200</v>
      </c>
      <c r="C198" t="s">
        <v>23</v>
      </c>
      <c r="D198" s="2">
        <v>33386</v>
      </c>
      <c r="E198" s="2">
        <v>19202</v>
      </c>
      <c r="F198" s="2">
        <v>14184</v>
      </c>
      <c r="G198" s="1">
        <v>0.42484873899239201</v>
      </c>
    </row>
    <row r="199" spans="1:7" x14ac:dyDescent="0.35">
      <c r="A199" t="s">
        <v>9</v>
      </c>
      <c r="B199" s="3">
        <v>45200</v>
      </c>
      <c r="C199" t="s">
        <v>24</v>
      </c>
      <c r="D199" s="2">
        <v>23240</v>
      </c>
      <c r="E199" s="2">
        <v>13657</v>
      </c>
      <c r="F199" s="2">
        <v>9583</v>
      </c>
      <c r="G199" s="1">
        <v>0.41234939759036099</v>
      </c>
    </row>
    <row r="200" spans="1:7" x14ac:dyDescent="0.35">
      <c r="A200" t="s">
        <v>11</v>
      </c>
      <c r="B200" s="3">
        <v>45200</v>
      </c>
      <c r="C200" t="s">
        <v>25</v>
      </c>
      <c r="D200" s="2">
        <v>230373</v>
      </c>
      <c r="E200" s="2">
        <v>84577</v>
      </c>
      <c r="F200" s="2">
        <v>145796</v>
      </c>
      <c r="G200" s="1">
        <v>0.63286930326036495</v>
      </c>
    </row>
    <row r="201" spans="1:7" x14ac:dyDescent="0.35">
      <c r="A201" t="s">
        <v>9</v>
      </c>
      <c r="B201" s="3">
        <v>45200</v>
      </c>
      <c r="C201" t="s">
        <v>26</v>
      </c>
      <c r="D201" s="2">
        <v>163453</v>
      </c>
      <c r="E201" s="2">
        <v>105251</v>
      </c>
      <c r="F201" s="2">
        <v>58202</v>
      </c>
      <c r="G201" s="1">
        <v>0.35607789395116601</v>
      </c>
    </row>
    <row r="202" spans="1:7" x14ac:dyDescent="0.35">
      <c r="A202" t="s">
        <v>9</v>
      </c>
      <c r="B202" s="3">
        <v>45200</v>
      </c>
      <c r="C202" t="s">
        <v>27</v>
      </c>
      <c r="D202" s="2">
        <v>4238</v>
      </c>
      <c r="E202" s="2">
        <v>2232</v>
      </c>
      <c r="F202" s="2">
        <v>2006</v>
      </c>
      <c r="G202" s="1">
        <v>0.47333647947144902</v>
      </c>
    </row>
    <row r="203" spans="1:7" x14ac:dyDescent="0.35">
      <c r="A203" t="s">
        <v>9</v>
      </c>
      <c r="B203" s="3">
        <v>45200</v>
      </c>
      <c r="C203" t="s">
        <v>28</v>
      </c>
      <c r="D203" s="2">
        <v>21865</v>
      </c>
      <c r="E203" s="2">
        <v>12692</v>
      </c>
      <c r="F203" s="2">
        <v>9173</v>
      </c>
      <c r="G203" s="1">
        <v>0.41952892750971899</v>
      </c>
    </row>
    <row r="204" spans="1:7" x14ac:dyDescent="0.35">
      <c r="A204" t="s">
        <v>9</v>
      </c>
      <c r="B204" s="3">
        <v>45200</v>
      </c>
      <c r="C204" t="s">
        <v>29</v>
      </c>
      <c r="D204" s="2">
        <v>416200</v>
      </c>
      <c r="E204" s="2">
        <v>178980</v>
      </c>
      <c r="F204" s="2">
        <v>237220</v>
      </c>
      <c r="G204" s="1">
        <v>0.569966362325805</v>
      </c>
    </row>
    <row r="205" spans="1:7" x14ac:dyDescent="0.35">
      <c r="A205" t="s">
        <v>11</v>
      </c>
      <c r="B205" s="3">
        <v>45200</v>
      </c>
      <c r="C205" t="s">
        <v>30</v>
      </c>
      <c r="D205" s="2">
        <v>371795</v>
      </c>
      <c r="E205" s="2">
        <v>195172</v>
      </c>
      <c r="F205" s="2">
        <v>176623</v>
      </c>
      <c r="G205" s="1">
        <v>0.475054801705241</v>
      </c>
    </row>
    <row r="206" spans="1:7" x14ac:dyDescent="0.35">
      <c r="A206" t="s">
        <v>9</v>
      </c>
      <c r="B206" s="3">
        <v>45200</v>
      </c>
      <c r="C206" t="s">
        <v>31</v>
      </c>
      <c r="D206" s="2">
        <v>58832</v>
      </c>
      <c r="E206" s="2">
        <v>46627</v>
      </c>
      <c r="F206" s="2">
        <v>12205</v>
      </c>
      <c r="G206" s="1">
        <v>0.20745512646179001</v>
      </c>
    </row>
    <row r="207" spans="1:7" x14ac:dyDescent="0.35">
      <c r="A207" t="s">
        <v>9</v>
      </c>
      <c r="B207" s="3">
        <v>45200</v>
      </c>
      <c r="C207" t="s">
        <v>32</v>
      </c>
      <c r="D207" s="2">
        <v>31358</v>
      </c>
      <c r="E207" s="2">
        <v>23831</v>
      </c>
      <c r="F207" s="2">
        <v>7527</v>
      </c>
      <c r="G207" s="1">
        <v>0.240034440972001</v>
      </c>
    </row>
    <row r="208" spans="1:7" x14ac:dyDescent="0.35">
      <c r="A208" t="s">
        <v>9</v>
      </c>
      <c r="B208" s="3">
        <v>45200</v>
      </c>
      <c r="C208" t="s">
        <v>33</v>
      </c>
      <c r="D208" s="2">
        <v>7941</v>
      </c>
      <c r="E208" s="2">
        <v>3441</v>
      </c>
      <c r="F208" s="2">
        <v>4500</v>
      </c>
      <c r="G208" s="1">
        <v>0.56667925953910103</v>
      </c>
    </row>
    <row r="209" spans="1:7" x14ac:dyDescent="0.35">
      <c r="A209" t="s">
        <v>9</v>
      </c>
      <c r="B209" s="3">
        <v>45170</v>
      </c>
      <c r="C209" t="s">
        <v>10</v>
      </c>
      <c r="D209" s="2">
        <v>7254</v>
      </c>
      <c r="E209" s="2">
        <v>7174</v>
      </c>
      <c r="F209" s="2">
        <v>80</v>
      </c>
      <c r="G209" s="1">
        <v>1.10283981251723E-2</v>
      </c>
    </row>
    <row r="210" spans="1:7" x14ac:dyDescent="0.35">
      <c r="A210" t="s">
        <v>11</v>
      </c>
      <c r="B210" s="3">
        <v>45170</v>
      </c>
      <c r="C210" t="s">
        <v>12</v>
      </c>
      <c r="D210" s="2">
        <v>837703</v>
      </c>
      <c r="E210" s="2">
        <v>250893</v>
      </c>
      <c r="F210" s="2">
        <v>586810</v>
      </c>
      <c r="G210" s="1">
        <v>0.700498864155912</v>
      </c>
    </row>
    <row r="211" spans="1:7" x14ac:dyDescent="0.35">
      <c r="A211" t="s">
        <v>11</v>
      </c>
      <c r="B211" s="3">
        <v>45170</v>
      </c>
      <c r="C211" t="s">
        <v>13</v>
      </c>
      <c r="D211" s="2">
        <v>19079</v>
      </c>
      <c r="E211" s="2">
        <v>11718</v>
      </c>
      <c r="F211" s="2">
        <v>7361</v>
      </c>
      <c r="G211" s="1">
        <v>0.38581686671209198</v>
      </c>
    </row>
    <row r="212" spans="1:7" x14ac:dyDescent="0.35">
      <c r="A212" t="s">
        <v>9</v>
      </c>
      <c r="B212" s="3">
        <v>45170</v>
      </c>
      <c r="C212" t="s">
        <v>14</v>
      </c>
      <c r="D212" s="2">
        <v>24865</v>
      </c>
      <c r="E212" s="2">
        <v>13957</v>
      </c>
      <c r="F212" s="2">
        <v>10908</v>
      </c>
      <c r="G212" s="1">
        <v>0.43868892016891198</v>
      </c>
    </row>
    <row r="213" spans="1:7" x14ac:dyDescent="0.35">
      <c r="A213" t="s">
        <v>9</v>
      </c>
      <c r="B213" s="3">
        <v>45170</v>
      </c>
      <c r="C213" t="s">
        <v>15</v>
      </c>
      <c r="D213" s="2">
        <v>146906</v>
      </c>
      <c r="E213" s="2">
        <v>96150</v>
      </c>
      <c r="F213" s="2">
        <v>50756</v>
      </c>
      <c r="G213" s="1">
        <v>0.3454998434373</v>
      </c>
    </row>
    <row r="214" spans="1:7" x14ac:dyDescent="0.35">
      <c r="A214" t="s">
        <v>9</v>
      </c>
      <c r="B214" s="3">
        <v>45170</v>
      </c>
      <c r="C214" t="s">
        <v>16</v>
      </c>
      <c r="D214" s="2">
        <v>63112</v>
      </c>
      <c r="E214" s="2">
        <v>35000</v>
      </c>
      <c r="F214" s="2">
        <v>28112</v>
      </c>
      <c r="G214" s="1">
        <v>0.44543034605146398</v>
      </c>
    </row>
    <row r="215" spans="1:7" x14ac:dyDescent="0.35">
      <c r="A215" t="s">
        <v>9</v>
      </c>
      <c r="B215" s="3">
        <v>45170</v>
      </c>
      <c r="C215" t="s">
        <v>17</v>
      </c>
      <c r="D215" s="2">
        <v>242220</v>
      </c>
      <c r="E215" s="2">
        <v>131194</v>
      </c>
      <c r="F215" s="2">
        <v>111026</v>
      </c>
      <c r="G215" s="1">
        <v>0.45836842539839801</v>
      </c>
    </row>
    <row r="216" spans="1:7" x14ac:dyDescent="0.35">
      <c r="A216" t="s">
        <v>9</v>
      </c>
      <c r="B216" s="3">
        <v>45170</v>
      </c>
      <c r="C216" t="s">
        <v>18</v>
      </c>
      <c r="D216" s="2">
        <v>79912</v>
      </c>
      <c r="E216" s="2">
        <v>63111</v>
      </c>
      <c r="F216" s="2">
        <v>16801</v>
      </c>
      <c r="G216" s="1">
        <v>0.21024376814495899</v>
      </c>
    </row>
    <row r="217" spans="1:7" x14ac:dyDescent="0.35">
      <c r="A217" t="s">
        <v>11</v>
      </c>
      <c r="B217" s="3">
        <v>45170</v>
      </c>
      <c r="C217" t="s">
        <v>19</v>
      </c>
      <c r="D217" s="2">
        <v>366341</v>
      </c>
      <c r="E217" s="2">
        <v>133527</v>
      </c>
      <c r="F217" s="2">
        <v>232814</v>
      </c>
      <c r="G217" s="1">
        <v>0.63551172268460299</v>
      </c>
    </row>
    <row r="218" spans="1:7" x14ac:dyDescent="0.35">
      <c r="A218" t="s">
        <v>9</v>
      </c>
      <c r="B218" s="3">
        <v>45170</v>
      </c>
      <c r="C218" t="s">
        <v>20</v>
      </c>
      <c r="D218" s="2">
        <v>36195</v>
      </c>
      <c r="E218" s="2">
        <v>25150</v>
      </c>
      <c r="F218" s="2">
        <v>11045</v>
      </c>
      <c r="G218" s="1">
        <v>0.30515264539301001</v>
      </c>
    </row>
    <row r="219" spans="1:7" x14ac:dyDescent="0.35">
      <c r="A219" t="s">
        <v>9</v>
      </c>
      <c r="B219" s="3">
        <v>45170</v>
      </c>
      <c r="C219" t="s">
        <v>21</v>
      </c>
      <c r="D219" s="2">
        <v>30722</v>
      </c>
      <c r="E219" s="2">
        <v>21479</v>
      </c>
      <c r="F219" s="2">
        <v>9243</v>
      </c>
      <c r="G219" s="1">
        <v>0.300859319054749</v>
      </c>
    </row>
    <row r="220" spans="1:7" x14ac:dyDescent="0.35">
      <c r="A220" t="s">
        <v>11</v>
      </c>
      <c r="B220" s="3">
        <v>45170</v>
      </c>
      <c r="C220" t="s">
        <v>22</v>
      </c>
      <c r="D220" s="2">
        <v>14555</v>
      </c>
      <c r="E220" s="2">
        <v>5592</v>
      </c>
      <c r="F220" s="2">
        <v>8963</v>
      </c>
      <c r="G220" s="1">
        <v>0.615802129852284</v>
      </c>
    </row>
    <row r="221" spans="1:7" x14ac:dyDescent="0.35">
      <c r="A221" t="s">
        <v>11</v>
      </c>
      <c r="B221" s="3">
        <v>45170</v>
      </c>
      <c r="C221" t="s">
        <v>23</v>
      </c>
      <c r="D221" s="2">
        <v>30804</v>
      </c>
      <c r="E221" s="2">
        <v>19906</v>
      </c>
      <c r="F221" s="2">
        <v>10898</v>
      </c>
      <c r="G221" s="1">
        <v>0.353785222698351</v>
      </c>
    </row>
    <row r="222" spans="1:7" x14ac:dyDescent="0.35">
      <c r="A222" t="s">
        <v>9</v>
      </c>
      <c r="B222" s="3">
        <v>45170</v>
      </c>
      <c r="C222" t="s">
        <v>24</v>
      </c>
      <c r="D222" s="2">
        <v>21587</v>
      </c>
      <c r="E222" s="2">
        <v>13957</v>
      </c>
      <c r="F222" s="2">
        <v>7630</v>
      </c>
      <c r="G222" s="1">
        <v>0.35345346736461802</v>
      </c>
    </row>
    <row r="223" spans="1:7" x14ac:dyDescent="0.35">
      <c r="A223" t="s">
        <v>11</v>
      </c>
      <c r="B223" s="3">
        <v>45170</v>
      </c>
      <c r="C223" t="s">
        <v>25</v>
      </c>
      <c r="D223" s="2">
        <v>220771</v>
      </c>
      <c r="E223" s="2">
        <v>86840</v>
      </c>
      <c r="F223" s="2">
        <v>133931</v>
      </c>
      <c r="G223" s="1">
        <v>0.60665123589601899</v>
      </c>
    </row>
    <row r="224" spans="1:7" x14ac:dyDescent="0.35">
      <c r="A224" t="s">
        <v>9</v>
      </c>
      <c r="B224" s="3">
        <v>45170</v>
      </c>
      <c r="C224" t="s">
        <v>26</v>
      </c>
      <c r="D224" s="2">
        <v>161328</v>
      </c>
      <c r="E224" s="2">
        <v>109041</v>
      </c>
      <c r="F224" s="2">
        <v>52287</v>
      </c>
      <c r="G224" s="1">
        <v>0.32410368937816098</v>
      </c>
    </row>
    <row r="225" spans="1:7" x14ac:dyDescent="0.35">
      <c r="A225" t="s">
        <v>9</v>
      </c>
      <c r="B225" s="3">
        <v>45170</v>
      </c>
      <c r="C225" t="s">
        <v>27</v>
      </c>
      <c r="D225" s="2">
        <v>4017</v>
      </c>
      <c r="E225" s="2">
        <v>2471</v>
      </c>
      <c r="F225" s="2">
        <v>1546</v>
      </c>
      <c r="G225" s="1">
        <v>0.38486432661189901</v>
      </c>
    </row>
    <row r="226" spans="1:7" x14ac:dyDescent="0.35">
      <c r="A226" t="s">
        <v>9</v>
      </c>
      <c r="B226" s="3">
        <v>45170</v>
      </c>
      <c r="C226" t="s">
        <v>28</v>
      </c>
      <c r="D226" s="2">
        <v>19206</v>
      </c>
      <c r="E226" s="2">
        <v>12973</v>
      </c>
      <c r="F226" s="2">
        <v>6233</v>
      </c>
      <c r="G226" s="1">
        <v>0.32453399979173198</v>
      </c>
    </row>
    <row r="227" spans="1:7" x14ac:dyDescent="0.35">
      <c r="A227" t="s">
        <v>9</v>
      </c>
      <c r="B227" s="3">
        <v>45170</v>
      </c>
      <c r="C227" t="s">
        <v>29</v>
      </c>
      <c r="D227" s="2">
        <v>387614</v>
      </c>
      <c r="E227" s="2">
        <v>187597</v>
      </c>
      <c r="F227" s="2">
        <v>200017</v>
      </c>
      <c r="G227" s="1">
        <v>0.51602109314936995</v>
      </c>
    </row>
    <row r="228" spans="1:7" x14ac:dyDescent="0.35">
      <c r="A228" t="s">
        <v>11</v>
      </c>
      <c r="B228" s="3">
        <v>45170</v>
      </c>
      <c r="C228" t="s">
        <v>30</v>
      </c>
      <c r="D228" s="2">
        <v>357002</v>
      </c>
      <c r="E228" s="2">
        <v>203287</v>
      </c>
      <c r="F228" s="2">
        <v>153715</v>
      </c>
      <c r="G228" s="1">
        <v>0.43057181752483198</v>
      </c>
    </row>
    <row r="229" spans="1:7" x14ac:dyDescent="0.35">
      <c r="A229" t="s">
        <v>9</v>
      </c>
      <c r="B229" s="3">
        <v>45170</v>
      </c>
      <c r="C229" t="s">
        <v>31</v>
      </c>
      <c r="D229" s="2">
        <v>58672</v>
      </c>
      <c r="E229" s="2">
        <v>47514</v>
      </c>
      <c r="F229" s="2">
        <v>11158</v>
      </c>
      <c r="G229" s="1">
        <v>0.19017589310062699</v>
      </c>
    </row>
    <row r="230" spans="1:7" x14ac:dyDescent="0.35">
      <c r="A230" t="s">
        <v>9</v>
      </c>
      <c r="B230" s="3">
        <v>45170</v>
      </c>
      <c r="C230" t="s">
        <v>32</v>
      </c>
      <c r="D230" s="2">
        <v>33415</v>
      </c>
      <c r="E230" s="2">
        <v>23826</v>
      </c>
      <c r="F230" s="2">
        <v>9589</v>
      </c>
      <c r="G230" s="1">
        <v>0.286966931019003</v>
      </c>
    </row>
    <row r="231" spans="1:7" x14ac:dyDescent="0.35">
      <c r="A231" t="s">
        <v>9</v>
      </c>
      <c r="B231" s="3">
        <v>45170</v>
      </c>
      <c r="C231" t="s">
        <v>33</v>
      </c>
      <c r="D231" s="2">
        <v>7672</v>
      </c>
      <c r="E231" s="2">
        <v>3404</v>
      </c>
      <c r="F231" s="2">
        <v>4268</v>
      </c>
      <c r="G231" s="1">
        <v>0.55630865484880099</v>
      </c>
    </row>
    <row r="232" spans="1:7" x14ac:dyDescent="0.35">
      <c r="A232" t="s">
        <v>9</v>
      </c>
      <c r="B232" s="3">
        <v>45139</v>
      </c>
      <c r="C232" t="s">
        <v>10</v>
      </c>
      <c r="D232" s="2">
        <v>7315</v>
      </c>
      <c r="E232" s="2">
        <v>6412</v>
      </c>
      <c r="F232" s="2">
        <v>903</v>
      </c>
      <c r="G232" s="1">
        <v>0.123444976076555</v>
      </c>
    </row>
    <row r="233" spans="1:7" x14ac:dyDescent="0.35">
      <c r="A233" t="s">
        <v>11</v>
      </c>
      <c r="B233" s="3">
        <v>45139</v>
      </c>
      <c r="C233" t="s">
        <v>12</v>
      </c>
      <c r="D233" s="2">
        <v>868109</v>
      </c>
      <c r="E233" s="2">
        <v>233599</v>
      </c>
      <c r="F233" s="2">
        <v>634510</v>
      </c>
      <c r="G233" s="1">
        <v>0.73091051930114803</v>
      </c>
    </row>
    <row r="234" spans="1:7" x14ac:dyDescent="0.35">
      <c r="A234" t="s">
        <v>11</v>
      </c>
      <c r="B234" s="3">
        <v>45139</v>
      </c>
      <c r="C234" t="s">
        <v>13</v>
      </c>
      <c r="D234" s="2">
        <v>20342</v>
      </c>
      <c r="E234" s="2">
        <v>11631</v>
      </c>
      <c r="F234" s="2">
        <v>8711</v>
      </c>
      <c r="G234" s="1">
        <v>0.42822731294857902</v>
      </c>
    </row>
    <row r="235" spans="1:7" x14ac:dyDescent="0.35">
      <c r="A235" t="s">
        <v>9</v>
      </c>
      <c r="B235" s="3">
        <v>45139</v>
      </c>
      <c r="C235" t="s">
        <v>14</v>
      </c>
      <c r="D235" s="2">
        <v>23761</v>
      </c>
      <c r="E235" s="2">
        <v>13477</v>
      </c>
      <c r="F235" s="2">
        <v>10284</v>
      </c>
      <c r="G235" s="1">
        <v>0.43281006691637602</v>
      </c>
    </row>
    <row r="236" spans="1:7" x14ac:dyDescent="0.35">
      <c r="A236" t="s">
        <v>9</v>
      </c>
      <c r="B236" s="3">
        <v>45139</v>
      </c>
      <c r="C236" t="s">
        <v>15</v>
      </c>
      <c r="D236" s="2">
        <v>149429</v>
      </c>
      <c r="E236" s="2">
        <v>97817</v>
      </c>
      <c r="F236" s="2">
        <v>51612</v>
      </c>
      <c r="G236" s="1">
        <v>0.34539480288297397</v>
      </c>
    </row>
    <row r="237" spans="1:7" x14ac:dyDescent="0.35">
      <c r="A237" t="s">
        <v>9</v>
      </c>
      <c r="B237" s="3">
        <v>45139</v>
      </c>
      <c r="C237" t="s">
        <v>16</v>
      </c>
      <c r="D237" s="2">
        <v>60652</v>
      </c>
      <c r="E237" s="2">
        <v>31546</v>
      </c>
      <c r="F237" s="2">
        <v>29106</v>
      </c>
      <c r="G237" s="1">
        <v>0.47988524698278701</v>
      </c>
    </row>
    <row r="238" spans="1:7" x14ac:dyDescent="0.35">
      <c r="A238" t="s">
        <v>9</v>
      </c>
      <c r="B238" s="3">
        <v>45139</v>
      </c>
      <c r="C238" t="s">
        <v>17</v>
      </c>
      <c r="D238" s="2">
        <v>251859</v>
      </c>
      <c r="E238" s="2">
        <v>127625</v>
      </c>
      <c r="F238" s="2">
        <v>124234</v>
      </c>
      <c r="G238" s="1">
        <v>0.49326805871539198</v>
      </c>
    </row>
    <row r="239" spans="1:7" x14ac:dyDescent="0.35">
      <c r="A239" t="s">
        <v>9</v>
      </c>
      <c r="B239" s="3">
        <v>45139</v>
      </c>
      <c r="C239" t="s">
        <v>18</v>
      </c>
      <c r="D239" s="2">
        <v>86426</v>
      </c>
      <c r="E239" s="2">
        <v>60869</v>
      </c>
      <c r="F239" s="2">
        <v>25557</v>
      </c>
      <c r="G239" s="1">
        <v>0.29570962441857801</v>
      </c>
    </row>
    <row r="240" spans="1:7" x14ac:dyDescent="0.35">
      <c r="A240" t="s">
        <v>11</v>
      </c>
      <c r="B240" s="3">
        <v>45139</v>
      </c>
      <c r="C240" t="s">
        <v>19</v>
      </c>
      <c r="D240" s="2">
        <v>387725</v>
      </c>
      <c r="E240" s="2">
        <v>117402</v>
      </c>
      <c r="F240" s="2">
        <v>270323</v>
      </c>
      <c r="G240" s="1">
        <v>0.69720291443677895</v>
      </c>
    </row>
    <row r="241" spans="1:7" x14ac:dyDescent="0.35">
      <c r="A241" t="s">
        <v>9</v>
      </c>
      <c r="B241" s="3">
        <v>45139</v>
      </c>
      <c r="C241" t="s">
        <v>20</v>
      </c>
      <c r="D241" s="2">
        <v>34167</v>
      </c>
      <c r="E241" s="2">
        <v>24904</v>
      </c>
      <c r="F241" s="2">
        <v>9263</v>
      </c>
      <c r="G241" s="1">
        <v>0.27110955015073002</v>
      </c>
    </row>
    <row r="242" spans="1:7" x14ac:dyDescent="0.35">
      <c r="A242" t="s">
        <v>9</v>
      </c>
      <c r="B242" s="3">
        <v>45139</v>
      </c>
      <c r="C242" t="s">
        <v>21</v>
      </c>
      <c r="D242" s="2">
        <v>31156</v>
      </c>
      <c r="E242" s="2">
        <v>20606</v>
      </c>
      <c r="F242" s="2">
        <v>10550</v>
      </c>
      <c r="G242" s="1">
        <v>0.338618564642444</v>
      </c>
    </row>
    <row r="243" spans="1:7" x14ac:dyDescent="0.35">
      <c r="A243" t="s">
        <v>11</v>
      </c>
      <c r="B243" s="3">
        <v>45139</v>
      </c>
      <c r="C243" t="s">
        <v>22</v>
      </c>
      <c r="D243" s="2">
        <v>14696</v>
      </c>
      <c r="E243" s="2">
        <v>4986</v>
      </c>
      <c r="F243" s="2">
        <v>9710</v>
      </c>
      <c r="G243" s="1">
        <v>0.66072400653239005</v>
      </c>
    </row>
    <row r="244" spans="1:7" x14ac:dyDescent="0.35">
      <c r="A244" t="s">
        <v>11</v>
      </c>
      <c r="B244" s="3">
        <v>45139</v>
      </c>
      <c r="C244" t="s">
        <v>23</v>
      </c>
      <c r="D244" s="2">
        <v>31930</v>
      </c>
      <c r="E244" s="2">
        <v>17896</v>
      </c>
      <c r="F244" s="2">
        <v>14034</v>
      </c>
      <c r="G244" s="1">
        <v>0.439523958659568</v>
      </c>
    </row>
    <row r="245" spans="1:7" x14ac:dyDescent="0.35">
      <c r="A245" t="s">
        <v>9</v>
      </c>
      <c r="B245" s="3">
        <v>45139</v>
      </c>
      <c r="C245" t="s">
        <v>24</v>
      </c>
      <c r="D245" s="2">
        <v>22654</v>
      </c>
      <c r="E245" s="2">
        <v>13477</v>
      </c>
      <c r="F245" s="2">
        <v>9177</v>
      </c>
      <c r="G245" s="1">
        <v>0.40509402313057302</v>
      </c>
    </row>
    <row r="246" spans="1:7" x14ac:dyDescent="0.35">
      <c r="A246" t="s">
        <v>11</v>
      </c>
      <c r="B246" s="3">
        <v>45139</v>
      </c>
      <c r="C246" t="s">
        <v>25</v>
      </c>
      <c r="D246" s="2">
        <v>227726</v>
      </c>
      <c r="E246" s="2">
        <v>81042</v>
      </c>
      <c r="F246" s="2">
        <v>146684</v>
      </c>
      <c r="G246" s="1">
        <v>0.64412495718538998</v>
      </c>
    </row>
    <row r="247" spans="1:7" x14ac:dyDescent="0.35">
      <c r="A247" t="s">
        <v>9</v>
      </c>
      <c r="B247" s="3">
        <v>45139</v>
      </c>
      <c r="C247" t="s">
        <v>26</v>
      </c>
      <c r="D247" s="2">
        <v>165165</v>
      </c>
      <c r="E247" s="2">
        <v>107259</v>
      </c>
      <c r="F247" s="2">
        <v>57906</v>
      </c>
      <c r="G247" s="1">
        <v>0.35059485968576898</v>
      </c>
    </row>
    <row r="248" spans="1:7" x14ac:dyDescent="0.35">
      <c r="A248" t="s">
        <v>9</v>
      </c>
      <c r="B248" s="3">
        <v>45139</v>
      </c>
      <c r="C248" t="s">
        <v>27</v>
      </c>
      <c r="D248" s="2">
        <v>3900</v>
      </c>
      <c r="E248" s="2">
        <v>2281</v>
      </c>
      <c r="F248" s="2">
        <v>1619</v>
      </c>
      <c r="G248" s="1">
        <v>0.41512820512820497</v>
      </c>
    </row>
    <row r="249" spans="1:7" x14ac:dyDescent="0.35">
      <c r="A249" t="s">
        <v>9</v>
      </c>
      <c r="B249" s="3">
        <v>45139</v>
      </c>
      <c r="C249" t="s">
        <v>28</v>
      </c>
      <c r="D249" s="2">
        <v>20044</v>
      </c>
      <c r="E249" s="2">
        <v>12051</v>
      </c>
      <c r="F249" s="2">
        <v>7993</v>
      </c>
      <c r="G249" s="1">
        <v>0.39877270005986798</v>
      </c>
    </row>
    <row r="250" spans="1:7" x14ac:dyDescent="0.35">
      <c r="A250" t="s">
        <v>9</v>
      </c>
      <c r="B250" s="3">
        <v>45139</v>
      </c>
      <c r="C250" t="s">
        <v>29</v>
      </c>
      <c r="D250" s="2">
        <v>369773</v>
      </c>
      <c r="E250" s="2">
        <v>175062</v>
      </c>
      <c r="F250" s="2">
        <v>194711</v>
      </c>
      <c r="G250" s="1">
        <v>0.52656900314517296</v>
      </c>
    </row>
    <row r="251" spans="1:7" x14ac:dyDescent="0.35">
      <c r="A251" t="s">
        <v>11</v>
      </c>
      <c r="B251" s="3">
        <v>45139</v>
      </c>
      <c r="C251" t="s">
        <v>30</v>
      </c>
      <c r="D251" s="2">
        <v>375768</v>
      </c>
      <c r="E251" s="2">
        <v>180089</v>
      </c>
      <c r="F251" s="2">
        <v>195679</v>
      </c>
      <c r="G251" s="1">
        <v>0.52074418258074096</v>
      </c>
    </row>
    <row r="252" spans="1:7" x14ac:dyDescent="0.35">
      <c r="A252" t="s">
        <v>9</v>
      </c>
      <c r="B252" s="3">
        <v>45139</v>
      </c>
      <c r="C252" t="s">
        <v>31</v>
      </c>
      <c r="D252" s="2">
        <v>58724</v>
      </c>
      <c r="E252" s="2">
        <v>46510</v>
      </c>
      <c r="F252" s="2">
        <v>12214</v>
      </c>
      <c r="G252" s="1">
        <v>0.20798991894285099</v>
      </c>
    </row>
    <row r="253" spans="1:7" x14ac:dyDescent="0.35">
      <c r="A253" t="s">
        <v>9</v>
      </c>
      <c r="B253" s="3">
        <v>45139</v>
      </c>
      <c r="C253" t="s">
        <v>32</v>
      </c>
      <c r="D253" s="2">
        <v>32597</v>
      </c>
      <c r="E253" s="2">
        <v>22774</v>
      </c>
      <c r="F253" s="2">
        <v>9823</v>
      </c>
      <c r="G253" s="1">
        <v>0.30134674970089298</v>
      </c>
    </row>
    <row r="254" spans="1:7" x14ac:dyDescent="0.35">
      <c r="A254" t="s">
        <v>9</v>
      </c>
      <c r="B254" s="3">
        <v>45139</v>
      </c>
      <c r="C254" t="s">
        <v>33</v>
      </c>
      <c r="D254" s="2">
        <v>7851</v>
      </c>
      <c r="E254" s="2">
        <v>3095</v>
      </c>
      <c r="F254" s="2">
        <v>4756</v>
      </c>
      <c r="G254" s="1">
        <v>0.60578270284040203</v>
      </c>
    </row>
    <row r="255" spans="1:7" x14ac:dyDescent="0.35">
      <c r="A255" t="s">
        <v>9</v>
      </c>
      <c r="B255" s="3">
        <v>45108</v>
      </c>
      <c r="C255" t="s">
        <v>10</v>
      </c>
      <c r="D255" s="2">
        <v>7210</v>
      </c>
      <c r="E255" s="2">
        <v>7011</v>
      </c>
      <c r="F255" s="2">
        <v>199</v>
      </c>
      <c r="G255" s="1">
        <v>2.7600554785020801E-2</v>
      </c>
    </row>
    <row r="256" spans="1:7" x14ac:dyDescent="0.35">
      <c r="A256" t="s">
        <v>11</v>
      </c>
      <c r="B256" s="3">
        <v>45108</v>
      </c>
      <c r="C256" t="s">
        <v>12</v>
      </c>
      <c r="D256" s="2">
        <v>861486</v>
      </c>
      <c r="E256" s="2">
        <v>238381</v>
      </c>
      <c r="F256" s="2">
        <v>623105</v>
      </c>
      <c r="G256" s="1">
        <v>0.72329091825055802</v>
      </c>
    </row>
    <row r="257" spans="1:7" x14ac:dyDescent="0.35">
      <c r="A257" t="s">
        <v>11</v>
      </c>
      <c r="B257" s="3">
        <v>45108</v>
      </c>
      <c r="C257" t="s">
        <v>13</v>
      </c>
      <c r="D257" s="2">
        <v>20285</v>
      </c>
      <c r="E257" s="2">
        <v>11330</v>
      </c>
      <c r="F257" s="2">
        <v>8955</v>
      </c>
      <c r="G257" s="1">
        <v>0.44145920631008101</v>
      </c>
    </row>
    <row r="258" spans="1:7" x14ac:dyDescent="0.35">
      <c r="A258" t="s">
        <v>9</v>
      </c>
      <c r="B258" s="3">
        <v>45108</v>
      </c>
      <c r="C258" t="s">
        <v>14</v>
      </c>
      <c r="D258" s="2">
        <v>23562</v>
      </c>
      <c r="E258" s="2">
        <v>13809</v>
      </c>
      <c r="F258" s="2">
        <v>9753</v>
      </c>
      <c r="G258" s="1">
        <v>0.41392920804685501</v>
      </c>
    </row>
    <row r="259" spans="1:7" x14ac:dyDescent="0.35">
      <c r="A259" t="s">
        <v>9</v>
      </c>
      <c r="B259" s="3">
        <v>45108</v>
      </c>
      <c r="C259" t="s">
        <v>15</v>
      </c>
      <c r="D259" s="2">
        <v>148329</v>
      </c>
      <c r="E259" s="2">
        <v>99612</v>
      </c>
      <c r="F259" s="2">
        <v>48717</v>
      </c>
      <c r="G259" s="1">
        <v>0.32843880832473799</v>
      </c>
    </row>
    <row r="260" spans="1:7" x14ac:dyDescent="0.35">
      <c r="A260" t="s">
        <v>9</v>
      </c>
      <c r="B260" s="3">
        <v>45108</v>
      </c>
      <c r="C260" t="s">
        <v>16</v>
      </c>
      <c r="D260" s="2">
        <v>62172</v>
      </c>
      <c r="E260" s="2">
        <v>34639</v>
      </c>
      <c r="F260" s="2">
        <v>27533</v>
      </c>
      <c r="G260" s="1">
        <v>0.442852087756546</v>
      </c>
    </row>
    <row r="261" spans="1:7" x14ac:dyDescent="0.35">
      <c r="A261" t="s">
        <v>9</v>
      </c>
      <c r="B261" s="3">
        <v>45108</v>
      </c>
      <c r="C261" t="s">
        <v>17</v>
      </c>
      <c r="D261" s="2">
        <v>250530</v>
      </c>
      <c r="E261" s="2">
        <v>125704</v>
      </c>
      <c r="F261" s="2">
        <v>124826</v>
      </c>
      <c r="G261" s="1">
        <v>0.49824771484453001</v>
      </c>
    </row>
    <row r="262" spans="1:7" x14ac:dyDescent="0.35">
      <c r="A262" t="s">
        <v>9</v>
      </c>
      <c r="B262" s="3">
        <v>45108</v>
      </c>
      <c r="C262" t="s">
        <v>18</v>
      </c>
      <c r="D262" s="2">
        <v>82911</v>
      </c>
      <c r="E262" s="2">
        <v>61099</v>
      </c>
      <c r="F262" s="2">
        <v>21812</v>
      </c>
      <c r="G262" s="1">
        <v>0.263077275632908</v>
      </c>
    </row>
    <row r="263" spans="1:7" x14ac:dyDescent="0.35">
      <c r="A263" t="s">
        <v>11</v>
      </c>
      <c r="B263" s="3">
        <v>45108</v>
      </c>
      <c r="C263" t="s">
        <v>19</v>
      </c>
      <c r="D263" s="2">
        <v>369370</v>
      </c>
      <c r="E263" s="2">
        <v>114820</v>
      </c>
      <c r="F263" s="2">
        <v>254550</v>
      </c>
      <c r="G263" s="1">
        <v>0.68914638438422204</v>
      </c>
    </row>
    <row r="264" spans="1:7" x14ac:dyDescent="0.35">
      <c r="A264" t="s">
        <v>9</v>
      </c>
      <c r="B264" s="3">
        <v>45108</v>
      </c>
      <c r="C264" t="s">
        <v>20</v>
      </c>
      <c r="D264" s="2">
        <v>36830</v>
      </c>
      <c r="E264" s="2">
        <v>23831</v>
      </c>
      <c r="F264" s="2">
        <v>12999</v>
      </c>
      <c r="G264" s="1">
        <v>0.352945967960901</v>
      </c>
    </row>
    <row r="265" spans="1:7" x14ac:dyDescent="0.35">
      <c r="A265" t="s">
        <v>9</v>
      </c>
      <c r="B265" s="3">
        <v>45108</v>
      </c>
      <c r="C265" t="s">
        <v>21</v>
      </c>
      <c r="D265" s="2">
        <v>31924</v>
      </c>
      <c r="E265" s="2">
        <v>20793</v>
      </c>
      <c r="F265" s="2">
        <v>11131</v>
      </c>
      <c r="G265" s="1">
        <v>0.348671845633379</v>
      </c>
    </row>
    <row r="266" spans="1:7" x14ac:dyDescent="0.35">
      <c r="A266" t="s">
        <v>11</v>
      </c>
      <c r="B266" s="3">
        <v>45108</v>
      </c>
      <c r="C266" t="s">
        <v>22</v>
      </c>
      <c r="D266" s="2">
        <v>15466</v>
      </c>
      <c r="E266" s="2">
        <v>5611</v>
      </c>
      <c r="F266" s="2">
        <v>9855</v>
      </c>
      <c r="G266" s="1">
        <v>0.63720418983576899</v>
      </c>
    </row>
    <row r="267" spans="1:7" x14ac:dyDescent="0.35">
      <c r="A267" t="s">
        <v>11</v>
      </c>
      <c r="B267" s="3">
        <v>45108</v>
      </c>
      <c r="C267" t="s">
        <v>23</v>
      </c>
      <c r="D267" s="2">
        <v>30776</v>
      </c>
      <c r="E267" s="2">
        <v>17972</v>
      </c>
      <c r="F267" s="2">
        <v>12804</v>
      </c>
      <c r="G267" s="1">
        <v>0.416038471536262</v>
      </c>
    </row>
    <row r="268" spans="1:7" x14ac:dyDescent="0.35">
      <c r="A268" t="s">
        <v>9</v>
      </c>
      <c r="B268" s="3">
        <v>45108</v>
      </c>
      <c r="C268" t="s">
        <v>24</v>
      </c>
      <c r="D268" s="2">
        <v>21679</v>
      </c>
      <c r="E268" s="2">
        <v>13809</v>
      </c>
      <c r="F268" s="2">
        <v>7870</v>
      </c>
      <c r="G268" s="1">
        <v>0.36302412472899998</v>
      </c>
    </row>
    <row r="269" spans="1:7" x14ac:dyDescent="0.35">
      <c r="A269" t="s">
        <v>11</v>
      </c>
      <c r="B269" s="3">
        <v>45108</v>
      </c>
      <c r="C269" t="s">
        <v>25</v>
      </c>
      <c r="D269" s="2">
        <v>225542</v>
      </c>
      <c r="E269" s="2">
        <v>83448</v>
      </c>
      <c r="F269" s="2">
        <v>142094</v>
      </c>
      <c r="G269" s="1">
        <v>0.63001126176055899</v>
      </c>
    </row>
    <row r="270" spans="1:7" x14ac:dyDescent="0.35">
      <c r="A270" t="s">
        <v>9</v>
      </c>
      <c r="B270" s="3">
        <v>45108</v>
      </c>
      <c r="C270" t="s">
        <v>26</v>
      </c>
      <c r="D270" s="2">
        <v>162898</v>
      </c>
      <c r="E270" s="2">
        <v>102950</v>
      </c>
      <c r="F270" s="2">
        <v>59948</v>
      </c>
      <c r="G270" s="1">
        <v>0.36800942921337298</v>
      </c>
    </row>
    <row r="271" spans="1:7" x14ac:dyDescent="0.35">
      <c r="A271" t="s">
        <v>9</v>
      </c>
      <c r="B271" s="3">
        <v>45108</v>
      </c>
      <c r="C271" t="s">
        <v>27</v>
      </c>
      <c r="D271" s="2">
        <v>3718</v>
      </c>
      <c r="E271" s="2">
        <v>2498</v>
      </c>
      <c r="F271" s="2">
        <v>1220</v>
      </c>
      <c r="G271" s="1">
        <v>0.32813340505648197</v>
      </c>
    </row>
    <row r="272" spans="1:7" x14ac:dyDescent="0.35">
      <c r="A272" t="s">
        <v>9</v>
      </c>
      <c r="B272" s="3">
        <v>45108</v>
      </c>
      <c r="C272" t="s">
        <v>28</v>
      </c>
      <c r="D272" s="2">
        <v>20607</v>
      </c>
      <c r="E272" s="2">
        <v>12148</v>
      </c>
      <c r="F272" s="2">
        <v>8459</v>
      </c>
      <c r="G272" s="1">
        <v>0.41049158053088802</v>
      </c>
    </row>
    <row r="273" spans="1:7" x14ac:dyDescent="0.35">
      <c r="A273" t="s">
        <v>9</v>
      </c>
      <c r="B273" s="3">
        <v>45108</v>
      </c>
      <c r="C273" t="s">
        <v>29</v>
      </c>
      <c r="D273" s="2">
        <v>363444</v>
      </c>
      <c r="E273" s="2">
        <v>172321</v>
      </c>
      <c r="F273" s="2">
        <v>191123</v>
      </c>
      <c r="G273" s="1">
        <v>0.52586643334323901</v>
      </c>
    </row>
    <row r="274" spans="1:7" x14ac:dyDescent="0.35">
      <c r="A274" t="s">
        <v>11</v>
      </c>
      <c r="B274" s="3">
        <v>45108</v>
      </c>
      <c r="C274" t="s">
        <v>30</v>
      </c>
      <c r="D274" s="2">
        <v>366114</v>
      </c>
      <c r="E274" s="2">
        <v>190568</v>
      </c>
      <c r="F274" s="2">
        <v>175546</v>
      </c>
      <c r="G274" s="1">
        <v>0.47948453214026199</v>
      </c>
    </row>
    <row r="275" spans="1:7" x14ac:dyDescent="0.35">
      <c r="A275" t="s">
        <v>9</v>
      </c>
      <c r="B275" s="3">
        <v>45108</v>
      </c>
      <c r="C275" t="s">
        <v>31</v>
      </c>
      <c r="D275" s="2">
        <v>55518</v>
      </c>
      <c r="E275" s="2">
        <v>44366</v>
      </c>
      <c r="F275" s="2">
        <v>11152</v>
      </c>
      <c r="G275" s="1">
        <v>0.20087178932958699</v>
      </c>
    </row>
    <row r="276" spans="1:7" x14ac:dyDescent="0.35">
      <c r="A276" t="s">
        <v>9</v>
      </c>
      <c r="B276" s="3">
        <v>45108</v>
      </c>
      <c r="C276" t="s">
        <v>32</v>
      </c>
      <c r="D276" s="2">
        <v>32406</v>
      </c>
      <c r="E276" s="2">
        <v>23355</v>
      </c>
      <c r="F276" s="2">
        <v>9051</v>
      </c>
      <c r="G276" s="1">
        <v>0.279300129605629</v>
      </c>
    </row>
    <row r="277" spans="1:7" x14ac:dyDescent="0.35">
      <c r="A277" t="s">
        <v>9</v>
      </c>
      <c r="B277" s="3">
        <v>45108</v>
      </c>
      <c r="C277" t="s">
        <v>33</v>
      </c>
      <c r="D277" s="2">
        <v>7574</v>
      </c>
      <c r="E277" s="2">
        <v>3572</v>
      </c>
      <c r="F277" s="2">
        <v>4002</v>
      </c>
      <c r="G277" s="1">
        <v>0.52838658568787999</v>
      </c>
    </row>
    <row r="278" spans="1:7" x14ac:dyDescent="0.35">
      <c r="A278" t="s">
        <v>9</v>
      </c>
      <c r="B278" s="3">
        <v>45078</v>
      </c>
      <c r="C278" t="s">
        <v>10</v>
      </c>
      <c r="D278" s="2">
        <v>10419</v>
      </c>
      <c r="E278" s="2">
        <v>7281</v>
      </c>
      <c r="F278" s="2">
        <v>3138</v>
      </c>
      <c r="G278" s="1">
        <v>0.30118053556003499</v>
      </c>
    </row>
    <row r="279" spans="1:7" x14ac:dyDescent="0.35">
      <c r="A279" t="s">
        <v>11</v>
      </c>
      <c r="B279" s="3">
        <v>45078</v>
      </c>
      <c r="C279" t="s">
        <v>12</v>
      </c>
      <c r="D279" s="2">
        <v>847048</v>
      </c>
      <c r="E279" s="2">
        <v>253235</v>
      </c>
      <c r="F279" s="2">
        <v>593813</v>
      </c>
      <c r="G279" s="1">
        <v>0.70103819382136601</v>
      </c>
    </row>
    <row r="280" spans="1:7" x14ac:dyDescent="0.35">
      <c r="A280" t="s">
        <v>11</v>
      </c>
      <c r="B280" s="3">
        <v>45078</v>
      </c>
      <c r="C280" t="s">
        <v>13</v>
      </c>
      <c r="D280" s="2">
        <v>19133</v>
      </c>
      <c r="E280" s="2">
        <v>12370</v>
      </c>
      <c r="F280" s="2">
        <v>6763</v>
      </c>
      <c r="G280" s="1">
        <v>0.35347305702189902</v>
      </c>
    </row>
    <row r="281" spans="1:7" x14ac:dyDescent="0.35">
      <c r="A281" t="s">
        <v>9</v>
      </c>
      <c r="B281" s="3">
        <v>45078</v>
      </c>
      <c r="C281" t="s">
        <v>14</v>
      </c>
      <c r="D281" s="2">
        <v>22097</v>
      </c>
      <c r="E281" s="2">
        <v>14212</v>
      </c>
      <c r="F281" s="2">
        <v>7885</v>
      </c>
      <c r="G281" s="1">
        <v>0.356835769561479</v>
      </c>
    </row>
    <row r="282" spans="1:7" x14ac:dyDescent="0.35">
      <c r="A282" t="s">
        <v>9</v>
      </c>
      <c r="B282" s="3">
        <v>45078</v>
      </c>
      <c r="C282" t="s">
        <v>15</v>
      </c>
      <c r="D282" s="2">
        <v>140305</v>
      </c>
      <c r="E282" s="2">
        <v>96717</v>
      </c>
      <c r="F282" s="2">
        <v>43588</v>
      </c>
      <c r="G282" s="1">
        <v>0.31066604896475503</v>
      </c>
    </row>
    <row r="283" spans="1:7" x14ac:dyDescent="0.35">
      <c r="A283" t="s">
        <v>9</v>
      </c>
      <c r="B283" s="3">
        <v>45078</v>
      </c>
      <c r="C283" t="s">
        <v>16</v>
      </c>
      <c r="D283" s="2">
        <v>54633</v>
      </c>
      <c r="E283" s="2">
        <v>35708</v>
      </c>
      <c r="F283" s="2">
        <v>18925</v>
      </c>
      <c r="G283" s="1">
        <v>0.34640235754946602</v>
      </c>
    </row>
    <row r="284" spans="1:7" x14ac:dyDescent="0.35">
      <c r="A284" t="s">
        <v>9</v>
      </c>
      <c r="B284" s="3">
        <v>45078</v>
      </c>
      <c r="C284" t="s">
        <v>17</v>
      </c>
      <c r="D284" s="2">
        <v>244521</v>
      </c>
      <c r="E284" s="2">
        <v>139397</v>
      </c>
      <c r="F284" s="2">
        <v>105124</v>
      </c>
      <c r="G284" s="1">
        <v>0.42991808474527798</v>
      </c>
    </row>
    <row r="285" spans="1:7" x14ac:dyDescent="0.35">
      <c r="A285" t="s">
        <v>9</v>
      </c>
      <c r="B285" s="3">
        <v>45078</v>
      </c>
      <c r="C285" t="s">
        <v>18</v>
      </c>
      <c r="D285" s="2">
        <v>80887</v>
      </c>
      <c r="E285" s="2">
        <v>68795</v>
      </c>
      <c r="F285" s="2">
        <v>12092</v>
      </c>
      <c r="G285" s="1">
        <v>0.14949250188534599</v>
      </c>
    </row>
    <row r="286" spans="1:7" x14ac:dyDescent="0.35">
      <c r="A286" t="s">
        <v>11</v>
      </c>
      <c r="B286" s="3">
        <v>45078</v>
      </c>
      <c r="C286" t="s">
        <v>19</v>
      </c>
      <c r="D286" s="2">
        <v>356994</v>
      </c>
      <c r="E286" s="2">
        <v>134270</v>
      </c>
      <c r="F286" s="2">
        <v>222724</v>
      </c>
      <c r="G286" s="1">
        <v>0.62388723620004805</v>
      </c>
    </row>
    <row r="287" spans="1:7" x14ac:dyDescent="0.35">
      <c r="A287" t="s">
        <v>9</v>
      </c>
      <c r="B287" s="3">
        <v>45078</v>
      </c>
      <c r="C287" t="s">
        <v>20</v>
      </c>
      <c r="D287" s="2">
        <v>36517</v>
      </c>
      <c r="E287" s="2">
        <v>26377</v>
      </c>
      <c r="F287" s="2">
        <v>10140</v>
      </c>
      <c r="G287" s="1">
        <v>0.27767888928444301</v>
      </c>
    </row>
    <row r="288" spans="1:7" x14ac:dyDescent="0.35">
      <c r="A288" t="s">
        <v>9</v>
      </c>
      <c r="B288" s="3">
        <v>45078</v>
      </c>
      <c r="C288" t="s">
        <v>21</v>
      </c>
      <c r="D288" s="2">
        <v>29683</v>
      </c>
      <c r="E288" s="2">
        <v>23022</v>
      </c>
      <c r="F288" s="2">
        <v>6661</v>
      </c>
      <c r="G288" s="1">
        <v>0.224404541319947</v>
      </c>
    </row>
    <row r="289" spans="1:7" x14ac:dyDescent="0.35">
      <c r="A289" t="s">
        <v>11</v>
      </c>
      <c r="B289" s="3">
        <v>45078</v>
      </c>
      <c r="C289" t="s">
        <v>22</v>
      </c>
      <c r="D289" s="2">
        <v>15374</v>
      </c>
      <c r="E289" s="2">
        <v>5226</v>
      </c>
      <c r="F289" s="2">
        <v>10148</v>
      </c>
      <c r="G289" s="1">
        <v>0.66007545206192297</v>
      </c>
    </row>
    <row r="290" spans="1:7" x14ac:dyDescent="0.35">
      <c r="A290" t="s">
        <v>11</v>
      </c>
      <c r="B290" s="3">
        <v>45078</v>
      </c>
      <c r="C290" t="s">
        <v>23</v>
      </c>
      <c r="D290" s="2">
        <v>32053</v>
      </c>
      <c r="E290" s="2">
        <v>20049</v>
      </c>
      <c r="F290" s="2">
        <v>12004</v>
      </c>
      <c r="G290" s="1">
        <v>0.37450472654665701</v>
      </c>
    </row>
    <row r="291" spans="1:7" x14ac:dyDescent="0.35">
      <c r="A291" t="s">
        <v>9</v>
      </c>
      <c r="B291" s="3">
        <v>45078</v>
      </c>
      <c r="C291" t="s">
        <v>24</v>
      </c>
      <c r="D291" s="2">
        <v>26472</v>
      </c>
      <c r="E291" s="2">
        <v>14212</v>
      </c>
      <c r="F291" s="2">
        <v>12260</v>
      </c>
      <c r="G291" s="1">
        <v>0.46313085524327602</v>
      </c>
    </row>
    <row r="292" spans="1:7" x14ac:dyDescent="0.35">
      <c r="A292" t="s">
        <v>11</v>
      </c>
      <c r="B292" s="3">
        <v>45078</v>
      </c>
      <c r="C292" t="s">
        <v>25</v>
      </c>
      <c r="D292" s="2">
        <v>218190</v>
      </c>
      <c r="E292" s="2">
        <v>89735</v>
      </c>
      <c r="F292" s="2">
        <v>128455</v>
      </c>
      <c r="G292" s="1">
        <v>0.58873000595810998</v>
      </c>
    </row>
    <row r="293" spans="1:7" x14ac:dyDescent="0.35">
      <c r="A293" t="s">
        <v>9</v>
      </c>
      <c r="B293" s="3">
        <v>45078</v>
      </c>
      <c r="C293" t="s">
        <v>26</v>
      </c>
      <c r="D293" s="2">
        <v>149398</v>
      </c>
      <c r="E293" s="2">
        <v>115393</v>
      </c>
      <c r="F293" s="2">
        <v>34005</v>
      </c>
      <c r="G293" s="1">
        <v>0.227613488801724</v>
      </c>
    </row>
    <row r="294" spans="1:7" x14ac:dyDescent="0.35">
      <c r="A294" t="s">
        <v>9</v>
      </c>
      <c r="B294" s="3">
        <v>45078</v>
      </c>
      <c r="C294" t="s">
        <v>27</v>
      </c>
      <c r="D294" s="2">
        <v>3603</v>
      </c>
      <c r="E294" s="2">
        <v>2541</v>
      </c>
      <c r="F294" s="2">
        <v>1062</v>
      </c>
      <c r="G294" s="1">
        <v>0.29475437135720201</v>
      </c>
    </row>
    <row r="295" spans="1:7" x14ac:dyDescent="0.35">
      <c r="A295" t="s">
        <v>9</v>
      </c>
      <c r="B295" s="3">
        <v>45078</v>
      </c>
      <c r="C295" t="s">
        <v>28</v>
      </c>
      <c r="D295" s="2">
        <v>20457</v>
      </c>
      <c r="E295" s="2">
        <v>13420</v>
      </c>
      <c r="F295" s="2">
        <v>7037</v>
      </c>
      <c r="G295" s="1">
        <v>0.34398983233123098</v>
      </c>
    </row>
    <row r="296" spans="1:7" x14ac:dyDescent="0.35">
      <c r="A296" t="s">
        <v>9</v>
      </c>
      <c r="B296" s="3">
        <v>45078</v>
      </c>
      <c r="C296" t="s">
        <v>29</v>
      </c>
      <c r="D296" s="2">
        <v>357051</v>
      </c>
      <c r="E296" s="2">
        <v>181880</v>
      </c>
      <c r="F296" s="2">
        <v>175171</v>
      </c>
      <c r="G296" s="1">
        <v>0.49060498360178201</v>
      </c>
    </row>
    <row r="297" spans="1:7" x14ac:dyDescent="0.35">
      <c r="A297" t="s">
        <v>11</v>
      </c>
      <c r="B297" s="3">
        <v>45078</v>
      </c>
      <c r="C297" t="s">
        <v>30</v>
      </c>
      <c r="D297" s="2">
        <v>362626</v>
      </c>
      <c r="E297" s="2">
        <v>203957</v>
      </c>
      <c r="F297" s="2">
        <v>158669</v>
      </c>
      <c r="G297" s="1">
        <v>0.43755549795105703</v>
      </c>
    </row>
    <row r="298" spans="1:7" x14ac:dyDescent="0.35">
      <c r="A298" t="s">
        <v>9</v>
      </c>
      <c r="B298" s="3">
        <v>45078</v>
      </c>
      <c r="C298" t="s">
        <v>31</v>
      </c>
      <c r="D298" s="2">
        <v>61541</v>
      </c>
      <c r="E298" s="2">
        <v>49382</v>
      </c>
      <c r="F298" s="2">
        <v>12159</v>
      </c>
      <c r="G298" s="1">
        <v>0.19757560000650001</v>
      </c>
    </row>
    <row r="299" spans="1:7" x14ac:dyDescent="0.35">
      <c r="A299" t="s">
        <v>9</v>
      </c>
      <c r="B299" s="3">
        <v>45078</v>
      </c>
      <c r="C299" t="s">
        <v>32</v>
      </c>
      <c r="D299" s="2">
        <v>30122</v>
      </c>
      <c r="E299" s="2">
        <v>25330</v>
      </c>
      <c r="F299" s="2">
        <v>4792</v>
      </c>
      <c r="G299" s="1">
        <v>0.15908638204634501</v>
      </c>
    </row>
    <row r="300" spans="1:7" x14ac:dyDescent="0.35">
      <c r="A300" t="s">
        <v>9</v>
      </c>
      <c r="B300" s="3">
        <v>45078</v>
      </c>
      <c r="C300" t="s">
        <v>33</v>
      </c>
      <c r="D300" s="2">
        <v>6995</v>
      </c>
      <c r="E300" s="2">
        <v>3058</v>
      </c>
      <c r="F300" s="2">
        <v>3937</v>
      </c>
      <c r="G300" s="1">
        <v>0.562830593280915</v>
      </c>
    </row>
    <row r="301" spans="1:7" x14ac:dyDescent="0.35">
      <c r="A301" t="s">
        <v>9</v>
      </c>
      <c r="B301" s="3">
        <v>45047</v>
      </c>
      <c r="C301" t="s">
        <v>10</v>
      </c>
      <c r="D301" s="2">
        <v>11956</v>
      </c>
      <c r="E301" s="2">
        <v>6565</v>
      </c>
      <c r="F301" s="2">
        <v>5391</v>
      </c>
      <c r="G301" s="1">
        <v>0.45090331214453</v>
      </c>
    </row>
    <row r="302" spans="1:7" x14ac:dyDescent="0.35">
      <c r="A302" t="s">
        <v>11</v>
      </c>
      <c r="B302" s="3">
        <v>45047</v>
      </c>
      <c r="C302" t="s">
        <v>12</v>
      </c>
      <c r="D302" s="2">
        <v>852051</v>
      </c>
      <c r="E302" s="2">
        <v>245880</v>
      </c>
      <c r="F302" s="2">
        <v>606171</v>
      </c>
      <c r="G302" s="1">
        <v>0.71142572451649</v>
      </c>
    </row>
    <row r="303" spans="1:7" x14ac:dyDescent="0.35">
      <c r="A303" t="s">
        <v>11</v>
      </c>
      <c r="B303" s="3">
        <v>45047</v>
      </c>
      <c r="C303" t="s">
        <v>13</v>
      </c>
      <c r="D303" s="2">
        <v>19849</v>
      </c>
      <c r="E303" s="2">
        <v>11473</v>
      </c>
      <c r="F303" s="2">
        <v>8376</v>
      </c>
      <c r="G303" s="1">
        <v>0.42198599425663802</v>
      </c>
    </row>
    <row r="304" spans="1:7" x14ac:dyDescent="0.35">
      <c r="A304" t="s">
        <v>9</v>
      </c>
      <c r="B304" s="3">
        <v>45047</v>
      </c>
      <c r="C304" t="s">
        <v>14</v>
      </c>
      <c r="D304" s="2">
        <v>22211</v>
      </c>
      <c r="E304" s="2">
        <v>13300</v>
      </c>
      <c r="F304" s="2">
        <v>8911</v>
      </c>
      <c r="G304" s="1">
        <v>0.40119760479041899</v>
      </c>
    </row>
    <row r="305" spans="1:7" x14ac:dyDescent="0.35">
      <c r="A305" t="s">
        <v>9</v>
      </c>
      <c r="B305" s="3">
        <v>45047</v>
      </c>
      <c r="C305" t="s">
        <v>15</v>
      </c>
      <c r="D305" s="2">
        <v>144632</v>
      </c>
      <c r="E305" s="2">
        <v>89629</v>
      </c>
      <c r="F305" s="2">
        <v>55003</v>
      </c>
      <c r="G305" s="1">
        <v>0.38029620001106301</v>
      </c>
    </row>
    <row r="306" spans="1:7" x14ac:dyDescent="0.35">
      <c r="A306" t="s">
        <v>9</v>
      </c>
      <c r="B306" s="3">
        <v>45047</v>
      </c>
      <c r="C306" t="s">
        <v>16</v>
      </c>
      <c r="D306" s="2">
        <v>55413</v>
      </c>
      <c r="E306" s="2">
        <v>33347</v>
      </c>
      <c r="F306" s="2">
        <v>22066</v>
      </c>
      <c r="G306" s="1">
        <v>0.39820980636312803</v>
      </c>
    </row>
    <row r="307" spans="1:7" x14ac:dyDescent="0.35">
      <c r="A307" t="s">
        <v>9</v>
      </c>
      <c r="B307" s="3">
        <v>45047</v>
      </c>
      <c r="C307" t="s">
        <v>17</v>
      </c>
      <c r="D307" s="2">
        <v>251094</v>
      </c>
      <c r="E307" s="2">
        <v>131548</v>
      </c>
      <c r="F307" s="2">
        <v>119546</v>
      </c>
      <c r="G307" s="1">
        <v>0.47610058384509402</v>
      </c>
    </row>
    <row r="308" spans="1:7" x14ac:dyDescent="0.35">
      <c r="A308" t="s">
        <v>9</v>
      </c>
      <c r="B308" s="3">
        <v>45047</v>
      </c>
      <c r="C308" t="s">
        <v>18</v>
      </c>
      <c r="D308" s="2">
        <v>84599</v>
      </c>
      <c r="E308" s="2">
        <v>62366</v>
      </c>
      <c r="F308" s="2">
        <v>22233</v>
      </c>
      <c r="G308" s="1">
        <v>0.262804524876181</v>
      </c>
    </row>
    <row r="309" spans="1:7" x14ac:dyDescent="0.35">
      <c r="A309" t="s">
        <v>11</v>
      </c>
      <c r="B309" s="3">
        <v>45047</v>
      </c>
      <c r="C309" t="s">
        <v>19</v>
      </c>
      <c r="D309" s="2">
        <v>344721</v>
      </c>
      <c r="E309" s="2">
        <v>120413</v>
      </c>
      <c r="F309" s="2">
        <v>224308</v>
      </c>
      <c r="G309" s="1">
        <v>0.65069432961728502</v>
      </c>
    </row>
    <row r="310" spans="1:7" x14ac:dyDescent="0.35">
      <c r="A310" t="s">
        <v>9</v>
      </c>
      <c r="B310" s="3">
        <v>45047</v>
      </c>
      <c r="C310" t="s">
        <v>20</v>
      </c>
      <c r="D310" s="2">
        <v>38401</v>
      </c>
      <c r="E310" s="2">
        <v>24507</v>
      </c>
      <c r="F310" s="2">
        <v>13894</v>
      </c>
      <c r="G310" s="1">
        <v>0.36181349444024902</v>
      </c>
    </row>
    <row r="311" spans="1:7" x14ac:dyDescent="0.35">
      <c r="A311" t="s">
        <v>9</v>
      </c>
      <c r="B311" s="3">
        <v>45047</v>
      </c>
      <c r="C311" t="s">
        <v>21</v>
      </c>
      <c r="D311" s="2">
        <v>30472</v>
      </c>
      <c r="E311" s="2">
        <v>21671</v>
      </c>
      <c r="F311" s="2">
        <v>8801</v>
      </c>
      <c r="G311" s="1">
        <v>0.28882252559727001</v>
      </c>
    </row>
    <row r="312" spans="1:7" x14ac:dyDescent="0.35">
      <c r="A312" t="s">
        <v>11</v>
      </c>
      <c r="B312" s="3">
        <v>45047</v>
      </c>
      <c r="C312" t="s">
        <v>22</v>
      </c>
      <c r="D312" s="2">
        <v>15369</v>
      </c>
      <c r="E312" s="2">
        <v>5433</v>
      </c>
      <c r="F312" s="2">
        <v>9936</v>
      </c>
      <c r="G312" s="1">
        <v>0.64649619363654098</v>
      </c>
    </row>
    <row r="313" spans="1:7" x14ac:dyDescent="0.35">
      <c r="A313" t="s">
        <v>11</v>
      </c>
      <c r="B313" s="3">
        <v>45047</v>
      </c>
      <c r="C313" t="s">
        <v>23</v>
      </c>
      <c r="D313" s="2">
        <v>32851</v>
      </c>
      <c r="E313" s="2">
        <v>18323</v>
      </c>
      <c r="F313" s="2">
        <v>14528</v>
      </c>
      <c r="G313" s="1">
        <v>0.44223920124197102</v>
      </c>
    </row>
    <row r="314" spans="1:7" x14ac:dyDescent="0.35">
      <c r="A314" t="s">
        <v>9</v>
      </c>
      <c r="B314" s="3">
        <v>45047</v>
      </c>
      <c r="C314" t="s">
        <v>24</v>
      </c>
      <c r="D314" s="2">
        <v>23889</v>
      </c>
      <c r="E314" s="2">
        <v>13300</v>
      </c>
      <c r="F314" s="2">
        <v>10589</v>
      </c>
      <c r="G314" s="1">
        <v>0.44325840344928602</v>
      </c>
    </row>
    <row r="315" spans="1:7" x14ac:dyDescent="0.35">
      <c r="A315" t="s">
        <v>11</v>
      </c>
      <c r="B315" s="3">
        <v>45047</v>
      </c>
      <c r="C315" t="s">
        <v>25</v>
      </c>
      <c r="D315" s="2">
        <v>228851</v>
      </c>
      <c r="E315" s="2">
        <v>83784</v>
      </c>
      <c r="F315" s="2">
        <v>145067</v>
      </c>
      <c r="G315" s="1">
        <v>0.63389279487526795</v>
      </c>
    </row>
    <row r="316" spans="1:7" x14ac:dyDescent="0.35">
      <c r="A316" t="s">
        <v>9</v>
      </c>
      <c r="B316" s="3">
        <v>45047</v>
      </c>
      <c r="C316" t="s">
        <v>26</v>
      </c>
      <c r="D316" s="2">
        <v>162324</v>
      </c>
      <c r="E316" s="2">
        <v>101363</v>
      </c>
      <c r="F316" s="2">
        <v>60961</v>
      </c>
      <c r="G316" s="1">
        <v>0.37555136640299602</v>
      </c>
    </row>
    <row r="317" spans="1:7" x14ac:dyDescent="0.35">
      <c r="A317" t="s">
        <v>9</v>
      </c>
      <c r="B317" s="3">
        <v>45047</v>
      </c>
      <c r="C317" t="s">
        <v>27</v>
      </c>
      <c r="D317" s="2">
        <v>3640</v>
      </c>
      <c r="E317" s="2">
        <v>2506</v>
      </c>
      <c r="F317" s="2">
        <v>1134</v>
      </c>
      <c r="G317" s="1">
        <v>0.31153846153846199</v>
      </c>
    </row>
    <row r="318" spans="1:7" x14ac:dyDescent="0.35">
      <c r="A318" t="s">
        <v>9</v>
      </c>
      <c r="B318" s="3">
        <v>45047</v>
      </c>
      <c r="C318" t="s">
        <v>28</v>
      </c>
      <c r="D318" s="2">
        <v>21435</v>
      </c>
      <c r="E318" s="2">
        <v>13004</v>
      </c>
      <c r="F318" s="2">
        <v>8431</v>
      </c>
      <c r="G318" s="1">
        <v>0.393328668066247</v>
      </c>
    </row>
    <row r="319" spans="1:7" x14ac:dyDescent="0.35">
      <c r="A319" t="s">
        <v>9</v>
      </c>
      <c r="B319" s="3">
        <v>45047</v>
      </c>
      <c r="C319" t="s">
        <v>29</v>
      </c>
      <c r="D319" s="2">
        <v>383576</v>
      </c>
      <c r="E319" s="2">
        <v>169262</v>
      </c>
      <c r="F319" s="2">
        <v>214314</v>
      </c>
      <c r="G319" s="1">
        <v>0.558726301958412</v>
      </c>
    </row>
    <row r="320" spans="1:7" x14ac:dyDescent="0.35">
      <c r="A320" t="s">
        <v>11</v>
      </c>
      <c r="B320" s="3">
        <v>45047</v>
      </c>
      <c r="C320" t="s">
        <v>30</v>
      </c>
      <c r="D320" s="2">
        <v>368220</v>
      </c>
      <c r="E320" s="2">
        <v>197615</v>
      </c>
      <c r="F320" s="2">
        <v>170605</v>
      </c>
      <c r="G320" s="1">
        <v>0.46332355656944202</v>
      </c>
    </row>
    <row r="321" spans="1:7" x14ac:dyDescent="0.35">
      <c r="A321" t="s">
        <v>9</v>
      </c>
      <c r="B321" s="3">
        <v>45047</v>
      </c>
      <c r="C321" t="s">
        <v>31</v>
      </c>
      <c r="D321" s="2">
        <v>56828</v>
      </c>
      <c r="E321" s="2">
        <v>45159</v>
      </c>
      <c r="F321" s="2">
        <v>11669</v>
      </c>
      <c r="G321" s="1">
        <v>0.20533891743506699</v>
      </c>
    </row>
    <row r="322" spans="1:7" x14ac:dyDescent="0.35">
      <c r="A322" t="s">
        <v>9</v>
      </c>
      <c r="B322" s="3">
        <v>45047</v>
      </c>
      <c r="C322" t="s">
        <v>32</v>
      </c>
      <c r="D322" s="2">
        <v>30519</v>
      </c>
      <c r="E322" s="2">
        <v>23340</v>
      </c>
      <c r="F322" s="2">
        <v>7179</v>
      </c>
      <c r="G322" s="1">
        <v>0.235230512139978</v>
      </c>
    </row>
    <row r="323" spans="1:7" x14ac:dyDescent="0.35">
      <c r="A323" t="s">
        <v>9</v>
      </c>
      <c r="B323" s="3">
        <v>45047</v>
      </c>
      <c r="C323" t="s">
        <v>33</v>
      </c>
      <c r="D323" s="2">
        <v>5661</v>
      </c>
      <c r="E323" s="2">
        <v>3309</v>
      </c>
      <c r="F323" s="2">
        <v>2352</v>
      </c>
      <c r="G323" s="1">
        <v>0.41547429782723899</v>
      </c>
    </row>
    <row r="324" spans="1:7" x14ac:dyDescent="0.35">
      <c r="A324" t="s">
        <v>9</v>
      </c>
      <c r="B324" s="3">
        <v>45017</v>
      </c>
      <c r="C324" t="s">
        <v>10</v>
      </c>
      <c r="D324" s="2">
        <v>10263</v>
      </c>
      <c r="E324" s="2">
        <v>8672</v>
      </c>
      <c r="F324" s="2">
        <v>1591</v>
      </c>
      <c r="G324" s="1">
        <v>0.15502289778817099</v>
      </c>
    </row>
    <row r="325" spans="1:7" x14ac:dyDescent="0.35">
      <c r="A325" t="s">
        <v>11</v>
      </c>
      <c r="B325" s="3">
        <v>45017</v>
      </c>
      <c r="C325" t="s">
        <v>12</v>
      </c>
      <c r="D325" s="2">
        <v>821828</v>
      </c>
      <c r="E325" s="2">
        <v>277679</v>
      </c>
      <c r="F325" s="2">
        <v>544149</v>
      </c>
      <c r="G325" s="1">
        <v>0.66212029767785996</v>
      </c>
    </row>
    <row r="326" spans="1:7" x14ac:dyDescent="0.35">
      <c r="A326" t="s">
        <v>11</v>
      </c>
      <c r="B326" s="3">
        <v>45017</v>
      </c>
      <c r="C326" t="s">
        <v>13</v>
      </c>
      <c r="D326" s="2">
        <v>19559</v>
      </c>
      <c r="E326" s="2">
        <v>12459</v>
      </c>
      <c r="F326" s="2">
        <v>7100</v>
      </c>
      <c r="G326" s="1">
        <v>0.36300424357073502</v>
      </c>
    </row>
    <row r="327" spans="1:7" x14ac:dyDescent="0.35">
      <c r="A327" t="s">
        <v>9</v>
      </c>
      <c r="B327" s="3">
        <v>45017</v>
      </c>
      <c r="C327" t="s">
        <v>14</v>
      </c>
      <c r="D327" s="2">
        <v>23228</v>
      </c>
      <c r="E327" s="2">
        <v>16643</v>
      </c>
      <c r="F327" s="2">
        <v>6585</v>
      </c>
      <c r="G327" s="1">
        <v>0.28349405889443802</v>
      </c>
    </row>
    <row r="328" spans="1:7" x14ac:dyDescent="0.35">
      <c r="A328" t="s">
        <v>9</v>
      </c>
      <c r="B328" s="3">
        <v>45017</v>
      </c>
      <c r="C328" t="s">
        <v>15</v>
      </c>
      <c r="D328" s="2">
        <v>130696</v>
      </c>
      <c r="E328" s="2">
        <v>109521</v>
      </c>
      <c r="F328" s="2">
        <v>21175</v>
      </c>
      <c r="G328" s="1">
        <v>0.16201720022035901</v>
      </c>
    </row>
    <row r="329" spans="1:7" x14ac:dyDescent="0.35">
      <c r="A329" t="s">
        <v>9</v>
      </c>
      <c r="B329" s="3">
        <v>45017</v>
      </c>
      <c r="C329" t="s">
        <v>16</v>
      </c>
      <c r="D329" s="2">
        <v>59234</v>
      </c>
      <c r="E329" s="2">
        <v>38995</v>
      </c>
      <c r="F329" s="2">
        <v>20239</v>
      </c>
      <c r="G329" s="1">
        <v>0.34167876557382598</v>
      </c>
    </row>
    <row r="330" spans="1:7" x14ac:dyDescent="0.35">
      <c r="A330" t="s">
        <v>9</v>
      </c>
      <c r="B330" s="3">
        <v>45017</v>
      </c>
      <c r="C330" t="s">
        <v>17</v>
      </c>
      <c r="D330" s="2">
        <v>252282</v>
      </c>
      <c r="E330" s="2">
        <v>155365</v>
      </c>
      <c r="F330" s="2">
        <v>96917</v>
      </c>
      <c r="G330" s="1">
        <v>0.38416137496927999</v>
      </c>
    </row>
    <row r="331" spans="1:7" x14ac:dyDescent="0.35">
      <c r="A331" t="s">
        <v>9</v>
      </c>
      <c r="B331" s="3">
        <v>45017</v>
      </c>
      <c r="C331" t="s">
        <v>18</v>
      </c>
      <c r="D331" s="2">
        <v>89269</v>
      </c>
      <c r="E331" s="2">
        <v>70227</v>
      </c>
      <c r="F331" s="2">
        <v>19042</v>
      </c>
      <c r="G331" s="1">
        <v>0.213310331694093</v>
      </c>
    </row>
    <row r="332" spans="1:7" x14ac:dyDescent="0.35">
      <c r="A332" t="s">
        <v>11</v>
      </c>
      <c r="B332" s="3">
        <v>45017</v>
      </c>
      <c r="C332" t="s">
        <v>19</v>
      </c>
      <c r="D332" s="2">
        <v>339132</v>
      </c>
      <c r="E332" s="2">
        <v>138105</v>
      </c>
      <c r="F332" s="2">
        <v>201027</v>
      </c>
      <c r="G332" s="1">
        <v>0.59276918721913596</v>
      </c>
    </row>
    <row r="333" spans="1:7" x14ac:dyDescent="0.35">
      <c r="A333" t="s">
        <v>9</v>
      </c>
      <c r="B333" s="3">
        <v>45017</v>
      </c>
      <c r="C333" t="s">
        <v>20</v>
      </c>
      <c r="D333" s="2">
        <v>41424</v>
      </c>
      <c r="E333" s="2">
        <v>28467</v>
      </c>
      <c r="F333" s="2">
        <v>12957</v>
      </c>
      <c r="G333" s="1">
        <v>0.31278968713789101</v>
      </c>
    </row>
    <row r="334" spans="1:7" x14ac:dyDescent="0.35">
      <c r="A334" t="s">
        <v>9</v>
      </c>
      <c r="B334" s="3">
        <v>45017</v>
      </c>
      <c r="C334" t="s">
        <v>21</v>
      </c>
      <c r="D334" s="2">
        <v>34530</v>
      </c>
      <c r="E334" s="2">
        <v>27351</v>
      </c>
      <c r="F334" s="2">
        <v>7179</v>
      </c>
      <c r="G334" s="1">
        <v>0.207906168549088</v>
      </c>
    </row>
    <row r="335" spans="1:7" x14ac:dyDescent="0.35">
      <c r="A335" t="s">
        <v>11</v>
      </c>
      <c r="B335" s="3">
        <v>45017</v>
      </c>
      <c r="C335" t="s">
        <v>22</v>
      </c>
      <c r="D335" s="2">
        <v>14788</v>
      </c>
      <c r="E335" s="2">
        <v>6187</v>
      </c>
      <c r="F335" s="2">
        <v>8601</v>
      </c>
      <c r="G335" s="1">
        <v>0.58162023262104401</v>
      </c>
    </row>
    <row r="336" spans="1:7" x14ac:dyDescent="0.35">
      <c r="A336" t="s">
        <v>11</v>
      </c>
      <c r="B336" s="3">
        <v>45017</v>
      </c>
      <c r="C336" t="s">
        <v>23</v>
      </c>
      <c r="D336" s="2">
        <v>33369</v>
      </c>
      <c r="E336" s="2">
        <v>20890</v>
      </c>
      <c r="F336" s="2">
        <v>12479</v>
      </c>
      <c r="G336" s="1">
        <v>0.37396985225808399</v>
      </c>
    </row>
    <row r="337" spans="1:7" x14ac:dyDescent="0.35">
      <c r="A337" t="s">
        <v>9</v>
      </c>
      <c r="B337" s="3">
        <v>45017</v>
      </c>
      <c r="C337" t="s">
        <v>24</v>
      </c>
      <c r="D337" s="2">
        <v>24489</v>
      </c>
      <c r="E337" s="2">
        <v>16643</v>
      </c>
      <c r="F337" s="2">
        <v>7846</v>
      </c>
      <c r="G337" s="1">
        <v>0.32038874596757699</v>
      </c>
    </row>
    <row r="338" spans="1:7" x14ac:dyDescent="0.35">
      <c r="A338" t="s">
        <v>11</v>
      </c>
      <c r="B338" s="3">
        <v>45017</v>
      </c>
      <c r="C338" t="s">
        <v>25</v>
      </c>
      <c r="D338" s="2">
        <v>224542</v>
      </c>
      <c r="E338" s="2">
        <v>94516</v>
      </c>
      <c r="F338" s="2">
        <v>130026</v>
      </c>
      <c r="G338" s="1">
        <v>0.57907206669576305</v>
      </c>
    </row>
    <row r="339" spans="1:7" x14ac:dyDescent="0.35">
      <c r="A339" t="s">
        <v>9</v>
      </c>
      <c r="B339" s="3">
        <v>45017</v>
      </c>
      <c r="C339" t="s">
        <v>26</v>
      </c>
      <c r="D339" s="2">
        <v>164054</v>
      </c>
      <c r="E339" s="2">
        <v>132299</v>
      </c>
      <c r="F339" s="2">
        <v>31755</v>
      </c>
      <c r="G339" s="1">
        <v>0.19356431418923001</v>
      </c>
    </row>
    <row r="340" spans="1:7" x14ac:dyDescent="0.35">
      <c r="A340" t="s">
        <v>9</v>
      </c>
      <c r="B340" s="3">
        <v>45017</v>
      </c>
      <c r="C340" t="s">
        <v>27</v>
      </c>
      <c r="D340" s="2">
        <v>3666</v>
      </c>
      <c r="E340" s="2">
        <v>3153</v>
      </c>
      <c r="F340" s="2">
        <v>513</v>
      </c>
      <c r="G340" s="1">
        <v>0.139934533551555</v>
      </c>
    </row>
    <row r="341" spans="1:7" x14ac:dyDescent="0.35">
      <c r="A341" t="s">
        <v>9</v>
      </c>
      <c r="B341" s="3">
        <v>45017</v>
      </c>
      <c r="C341" t="s">
        <v>28</v>
      </c>
      <c r="D341" s="2">
        <v>21308</v>
      </c>
      <c r="E341" s="2">
        <v>14874</v>
      </c>
      <c r="F341" s="2">
        <v>6434</v>
      </c>
      <c r="G341" s="1">
        <v>0.30195231837807401</v>
      </c>
    </row>
    <row r="342" spans="1:7" x14ac:dyDescent="0.35">
      <c r="A342" t="s">
        <v>9</v>
      </c>
      <c r="B342" s="3">
        <v>45017</v>
      </c>
      <c r="C342" t="s">
        <v>29</v>
      </c>
      <c r="D342" s="2">
        <v>373937</v>
      </c>
      <c r="E342" s="2">
        <v>194411</v>
      </c>
      <c r="F342" s="2">
        <v>179526</v>
      </c>
      <c r="G342" s="1">
        <v>0.48009691472092902</v>
      </c>
    </row>
    <row r="343" spans="1:7" x14ac:dyDescent="0.35">
      <c r="A343" t="s">
        <v>11</v>
      </c>
      <c r="B343" s="3">
        <v>45017</v>
      </c>
      <c r="C343" t="s">
        <v>30</v>
      </c>
      <c r="D343" s="2">
        <v>376986</v>
      </c>
      <c r="E343" s="2">
        <v>237990</v>
      </c>
      <c r="F343" s="2">
        <v>138996</v>
      </c>
      <c r="G343" s="1">
        <v>0.36870334707389701</v>
      </c>
    </row>
    <row r="344" spans="1:7" x14ac:dyDescent="0.35">
      <c r="A344" t="s">
        <v>9</v>
      </c>
      <c r="B344" s="3">
        <v>45017</v>
      </c>
      <c r="C344" t="s">
        <v>31</v>
      </c>
      <c r="D344" s="2">
        <v>63413</v>
      </c>
      <c r="E344" s="2">
        <v>51757</v>
      </c>
      <c r="F344" s="2">
        <v>11656</v>
      </c>
      <c r="G344" s="1">
        <v>0.183810890511409</v>
      </c>
    </row>
    <row r="345" spans="1:7" x14ac:dyDescent="0.35">
      <c r="A345" t="s">
        <v>9</v>
      </c>
      <c r="B345" s="3">
        <v>45017</v>
      </c>
      <c r="C345" t="s">
        <v>32</v>
      </c>
      <c r="D345" s="2">
        <v>31553</v>
      </c>
      <c r="E345" s="2">
        <v>26866</v>
      </c>
      <c r="F345" s="2">
        <v>4687</v>
      </c>
      <c r="G345" s="1">
        <v>0.14854372009000699</v>
      </c>
    </row>
    <row r="346" spans="1:7" x14ac:dyDescent="0.35">
      <c r="A346" t="s">
        <v>9</v>
      </c>
      <c r="B346" s="3">
        <v>45017</v>
      </c>
      <c r="C346" t="s">
        <v>33</v>
      </c>
      <c r="D346" s="2">
        <v>6587</v>
      </c>
      <c r="E346" s="2">
        <v>3713</v>
      </c>
      <c r="F346" s="2">
        <v>2874</v>
      </c>
      <c r="G346" s="1">
        <v>0.43631395172309101</v>
      </c>
    </row>
    <row r="347" spans="1:7" x14ac:dyDescent="0.35">
      <c r="A347" t="s">
        <v>9</v>
      </c>
      <c r="B347" s="3">
        <v>44986</v>
      </c>
      <c r="C347" t="s">
        <v>10</v>
      </c>
      <c r="D347" s="2">
        <v>9003</v>
      </c>
      <c r="E347" s="2">
        <v>7415</v>
      </c>
      <c r="F347" s="2">
        <v>1588</v>
      </c>
      <c r="G347" s="1">
        <v>0.17638564922803501</v>
      </c>
    </row>
    <row r="348" spans="1:7" x14ac:dyDescent="0.35">
      <c r="A348" t="s">
        <v>11</v>
      </c>
      <c r="B348" s="3">
        <v>44986</v>
      </c>
      <c r="C348" t="s">
        <v>12</v>
      </c>
      <c r="D348" s="2">
        <v>851470</v>
      </c>
      <c r="E348" s="2">
        <v>264106</v>
      </c>
      <c r="F348" s="2">
        <v>587364</v>
      </c>
      <c r="G348" s="1">
        <v>0.68982348174333796</v>
      </c>
    </row>
    <row r="349" spans="1:7" x14ac:dyDescent="0.35">
      <c r="A349" t="s">
        <v>11</v>
      </c>
      <c r="B349" s="3">
        <v>44986</v>
      </c>
      <c r="C349" t="s">
        <v>13</v>
      </c>
      <c r="D349" s="2">
        <v>20481</v>
      </c>
      <c r="E349" s="2">
        <v>13679</v>
      </c>
      <c r="F349" s="2">
        <v>6802</v>
      </c>
      <c r="G349" s="1">
        <v>0.33211268981006797</v>
      </c>
    </row>
    <row r="350" spans="1:7" x14ac:dyDescent="0.35">
      <c r="A350" t="s">
        <v>9</v>
      </c>
      <c r="B350" s="3">
        <v>44986</v>
      </c>
      <c r="C350" t="s">
        <v>14</v>
      </c>
      <c r="D350" s="2">
        <v>26029</v>
      </c>
      <c r="E350" s="2">
        <v>14057</v>
      </c>
      <c r="F350" s="2">
        <v>11972</v>
      </c>
      <c r="G350" s="1">
        <v>0.45994851895962202</v>
      </c>
    </row>
    <row r="351" spans="1:7" x14ac:dyDescent="0.35">
      <c r="A351" t="s">
        <v>9</v>
      </c>
      <c r="B351" s="3">
        <v>44986</v>
      </c>
      <c r="C351" t="s">
        <v>15</v>
      </c>
      <c r="D351" s="2">
        <v>175298</v>
      </c>
      <c r="E351" s="2">
        <v>97983</v>
      </c>
      <c r="F351" s="2">
        <v>77315</v>
      </c>
      <c r="G351" s="1">
        <v>0.44104895663384602</v>
      </c>
    </row>
    <row r="352" spans="1:7" x14ac:dyDescent="0.35">
      <c r="A352" t="s">
        <v>9</v>
      </c>
      <c r="B352" s="3">
        <v>44986</v>
      </c>
      <c r="C352" t="s">
        <v>16</v>
      </c>
      <c r="D352" s="2">
        <v>67124</v>
      </c>
      <c r="E352" s="2">
        <v>41362</v>
      </c>
      <c r="F352" s="2">
        <v>25762</v>
      </c>
      <c r="G352" s="1">
        <v>0.38379715154043298</v>
      </c>
    </row>
    <row r="353" spans="1:7" x14ac:dyDescent="0.35">
      <c r="A353" t="s">
        <v>9</v>
      </c>
      <c r="B353" s="3">
        <v>44986</v>
      </c>
      <c r="C353" t="s">
        <v>17</v>
      </c>
      <c r="D353" s="2">
        <v>268564</v>
      </c>
      <c r="E353" s="2">
        <v>144567</v>
      </c>
      <c r="F353" s="2">
        <v>123997</v>
      </c>
      <c r="G353" s="1">
        <v>0.461703727975455</v>
      </c>
    </row>
    <row r="354" spans="1:7" x14ac:dyDescent="0.35">
      <c r="A354" t="s">
        <v>9</v>
      </c>
      <c r="B354" s="3">
        <v>44986</v>
      </c>
      <c r="C354" t="s">
        <v>18</v>
      </c>
      <c r="D354" s="2">
        <v>100673</v>
      </c>
      <c r="E354" s="2">
        <v>64518</v>
      </c>
      <c r="F354" s="2">
        <v>36155</v>
      </c>
      <c r="G354" s="1">
        <v>0.359133034676626</v>
      </c>
    </row>
    <row r="355" spans="1:7" x14ac:dyDescent="0.35">
      <c r="A355" t="s">
        <v>11</v>
      </c>
      <c r="B355" s="3">
        <v>44986</v>
      </c>
      <c r="C355" t="s">
        <v>19</v>
      </c>
      <c r="D355" s="2">
        <v>351025</v>
      </c>
      <c r="E355" s="2">
        <v>134051</v>
      </c>
      <c r="F355" s="2">
        <v>216974</v>
      </c>
      <c r="G355" s="1">
        <v>0.61811551883769</v>
      </c>
    </row>
    <row r="356" spans="1:7" x14ac:dyDescent="0.35">
      <c r="A356" t="s">
        <v>9</v>
      </c>
      <c r="B356" s="3">
        <v>44986</v>
      </c>
      <c r="C356" t="s">
        <v>20</v>
      </c>
      <c r="D356" s="2">
        <v>45104</v>
      </c>
      <c r="E356" s="2">
        <v>27824</v>
      </c>
      <c r="F356" s="2">
        <v>17280</v>
      </c>
      <c r="G356" s="1">
        <v>0.38311457963817003</v>
      </c>
    </row>
    <row r="357" spans="1:7" x14ac:dyDescent="0.35">
      <c r="A357" t="s">
        <v>9</v>
      </c>
      <c r="B357" s="3">
        <v>44986</v>
      </c>
      <c r="C357" t="s">
        <v>21</v>
      </c>
      <c r="D357" s="2">
        <v>37466</v>
      </c>
      <c r="E357" s="2">
        <v>24730</v>
      </c>
      <c r="F357" s="2">
        <v>12736</v>
      </c>
      <c r="G357" s="1">
        <v>0.33993487428601898</v>
      </c>
    </row>
    <row r="358" spans="1:7" x14ac:dyDescent="0.35">
      <c r="A358" t="s">
        <v>11</v>
      </c>
      <c r="B358" s="3">
        <v>44986</v>
      </c>
      <c r="C358" t="s">
        <v>22</v>
      </c>
      <c r="D358" s="2">
        <v>14509</v>
      </c>
      <c r="E358" s="2">
        <v>5789</v>
      </c>
      <c r="F358" s="2">
        <v>8720</v>
      </c>
      <c r="G358" s="1">
        <v>0.60100627196912304</v>
      </c>
    </row>
    <row r="359" spans="1:7" x14ac:dyDescent="0.35">
      <c r="A359" t="s">
        <v>11</v>
      </c>
      <c r="B359" s="3">
        <v>44986</v>
      </c>
      <c r="C359" t="s">
        <v>23</v>
      </c>
      <c r="D359" s="2">
        <v>34326</v>
      </c>
      <c r="E359" s="2">
        <v>20379</v>
      </c>
      <c r="F359" s="2">
        <v>13947</v>
      </c>
      <c r="G359" s="1">
        <v>0.406310085649362</v>
      </c>
    </row>
    <row r="360" spans="1:7" x14ac:dyDescent="0.35">
      <c r="A360" t="s">
        <v>9</v>
      </c>
      <c r="B360" s="3">
        <v>44986</v>
      </c>
      <c r="C360" t="s">
        <v>24</v>
      </c>
      <c r="D360" s="2">
        <v>25533</v>
      </c>
      <c r="E360" s="2">
        <v>14057</v>
      </c>
      <c r="F360" s="2">
        <v>11476</v>
      </c>
      <c r="G360" s="1">
        <v>0.44945756472016601</v>
      </c>
    </row>
    <row r="361" spans="1:7" x14ac:dyDescent="0.35">
      <c r="A361" t="s">
        <v>11</v>
      </c>
      <c r="B361" s="3">
        <v>44986</v>
      </c>
      <c r="C361" t="s">
        <v>25</v>
      </c>
      <c r="D361" s="2">
        <v>229610</v>
      </c>
      <c r="E361" s="2">
        <v>95285</v>
      </c>
      <c r="F361" s="2">
        <v>134325</v>
      </c>
      <c r="G361" s="1">
        <v>0.58501371891468201</v>
      </c>
    </row>
    <row r="362" spans="1:7" x14ac:dyDescent="0.35">
      <c r="A362" t="s">
        <v>9</v>
      </c>
      <c r="B362" s="3">
        <v>44986</v>
      </c>
      <c r="C362" t="s">
        <v>26</v>
      </c>
      <c r="D362" s="2">
        <v>181720</v>
      </c>
      <c r="E362" s="2">
        <v>118631</v>
      </c>
      <c r="F362" s="2">
        <v>63089</v>
      </c>
      <c r="G362" s="1">
        <v>0.34717697556680599</v>
      </c>
    </row>
    <row r="363" spans="1:7" x14ac:dyDescent="0.35">
      <c r="A363" t="s">
        <v>9</v>
      </c>
      <c r="B363" s="3">
        <v>44986</v>
      </c>
      <c r="C363" t="s">
        <v>27</v>
      </c>
      <c r="D363" s="2">
        <v>4199</v>
      </c>
      <c r="E363" s="2">
        <v>2705</v>
      </c>
      <c r="F363" s="2">
        <v>1494</v>
      </c>
      <c r="G363" s="1">
        <v>0.35579899976184798</v>
      </c>
    </row>
    <row r="364" spans="1:7" x14ac:dyDescent="0.35">
      <c r="A364" t="s">
        <v>9</v>
      </c>
      <c r="B364" s="3">
        <v>44986</v>
      </c>
      <c r="C364" t="s">
        <v>28</v>
      </c>
      <c r="D364" s="2">
        <v>22112</v>
      </c>
      <c r="E364" s="2">
        <v>13814</v>
      </c>
      <c r="F364" s="2">
        <v>8298</v>
      </c>
      <c r="G364" s="1">
        <v>0.37527134587554301</v>
      </c>
    </row>
    <row r="365" spans="1:7" x14ac:dyDescent="0.35">
      <c r="A365" t="s">
        <v>9</v>
      </c>
      <c r="B365" s="3">
        <v>44986</v>
      </c>
      <c r="C365" t="s">
        <v>29</v>
      </c>
      <c r="D365" s="2">
        <v>387572</v>
      </c>
      <c r="E365" s="2">
        <v>177682</v>
      </c>
      <c r="F365" s="2">
        <v>209890</v>
      </c>
      <c r="G365" s="1">
        <v>0.54155098923554801</v>
      </c>
    </row>
    <row r="366" spans="1:7" x14ac:dyDescent="0.35">
      <c r="A366" t="s">
        <v>11</v>
      </c>
      <c r="B366" s="3">
        <v>44986</v>
      </c>
      <c r="C366" t="s">
        <v>30</v>
      </c>
      <c r="D366" s="2">
        <v>403116</v>
      </c>
      <c r="E366" s="2">
        <v>216028</v>
      </c>
      <c r="F366" s="2">
        <v>187088</v>
      </c>
      <c r="G366" s="1">
        <v>0.46410462497147198</v>
      </c>
    </row>
    <row r="367" spans="1:7" x14ac:dyDescent="0.35">
      <c r="A367" t="s">
        <v>9</v>
      </c>
      <c r="B367" s="3">
        <v>44986</v>
      </c>
      <c r="C367" t="s">
        <v>31</v>
      </c>
      <c r="D367" s="2">
        <v>63123</v>
      </c>
      <c r="E367" s="2">
        <v>50853</v>
      </c>
      <c r="F367" s="2">
        <v>12270</v>
      </c>
      <c r="G367" s="1">
        <v>0.19438239627394099</v>
      </c>
    </row>
    <row r="368" spans="1:7" x14ac:dyDescent="0.35">
      <c r="A368" t="s">
        <v>9</v>
      </c>
      <c r="B368" s="3">
        <v>44986</v>
      </c>
      <c r="C368" t="s">
        <v>32</v>
      </c>
      <c r="D368" s="2">
        <v>34401</v>
      </c>
      <c r="E368" s="2">
        <v>25207</v>
      </c>
      <c r="F368" s="2">
        <v>9194</v>
      </c>
      <c r="G368" s="1">
        <v>0.26725967268393402</v>
      </c>
    </row>
    <row r="369" spans="1:7" x14ac:dyDescent="0.35">
      <c r="A369" t="s">
        <v>9</v>
      </c>
      <c r="B369" s="3">
        <v>44986</v>
      </c>
      <c r="C369" t="s">
        <v>33</v>
      </c>
      <c r="D369" s="2">
        <v>7384</v>
      </c>
      <c r="E369" s="2">
        <v>3365</v>
      </c>
      <c r="F369" s="2">
        <v>4019</v>
      </c>
      <c r="G369" s="1">
        <v>0.54428494041170095</v>
      </c>
    </row>
    <row r="370" spans="1:7" x14ac:dyDescent="0.35">
      <c r="A370" t="s">
        <v>9</v>
      </c>
      <c r="B370" s="3">
        <v>44958</v>
      </c>
      <c r="C370" t="s">
        <v>10</v>
      </c>
      <c r="D370" s="2">
        <v>8340</v>
      </c>
      <c r="E370" s="2">
        <v>8961</v>
      </c>
      <c r="F370" s="2">
        <v>-621</v>
      </c>
      <c r="G370" s="1">
        <v>-7.4460431654676307E-2</v>
      </c>
    </row>
    <row r="371" spans="1:7" x14ac:dyDescent="0.35">
      <c r="A371" t="s">
        <v>11</v>
      </c>
      <c r="B371" s="3">
        <v>44958</v>
      </c>
      <c r="C371" t="s">
        <v>12</v>
      </c>
      <c r="D371" s="2">
        <v>771610</v>
      </c>
      <c r="E371" s="2">
        <v>290139</v>
      </c>
      <c r="F371" s="2">
        <v>481471</v>
      </c>
      <c r="G371" s="1">
        <v>0.62398232267596299</v>
      </c>
    </row>
    <row r="372" spans="1:7" x14ac:dyDescent="0.35">
      <c r="A372" t="s">
        <v>11</v>
      </c>
      <c r="B372" s="3">
        <v>44958</v>
      </c>
      <c r="C372" t="s">
        <v>13</v>
      </c>
      <c r="D372" s="2">
        <v>18110</v>
      </c>
      <c r="E372" s="2">
        <v>14315</v>
      </c>
      <c r="F372" s="2">
        <v>3795</v>
      </c>
      <c r="G372" s="1">
        <v>0.20955273329652099</v>
      </c>
    </row>
    <row r="373" spans="1:7" x14ac:dyDescent="0.35">
      <c r="A373" t="s">
        <v>9</v>
      </c>
      <c r="B373" s="3">
        <v>44958</v>
      </c>
      <c r="C373" t="s">
        <v>14</v>
      </c>
      <c r="D373" s="2">
        <v>21812</v>
      </c>
      <c r="E373" s="2">
        <v>16763</v>
      </c>
      <c r="F373" s="2">
        <v>5049</v>
      </c>
      <c r="G373" s="1">
        <v>0.231478085457546</v>
      </c>
    </row>
    <row r="374" spans="1:7" x14ac:dyDescent="0.35">
      <c r="A374" t="s">
        <v>9</v>
      </c>
      <c r="B374" s="3">
        <v>44958</v>
      </c>
      <c r="C374" t="s">
        <v>15</v>
      </c>
      <c r="D374" s="2">
        <v>155395</v>
      </c>
      <c r="E374" s="2">
        <v>105540</v>
      </c>
      <c r="F374" s="2">
        <v>49855</v>
      </c>
      <c r="G374" s="1">
        <v>0.32082756845458399</v>
      </c>
    </row>
    <row r="375" spans="1:7" x14ac:dyDescent="0.35">
      <c r="A375" t="s">
        <v>9</v>
      </c>
      <c r="B375" s="3">
        <v>44958</v>
      </c>
      <c r="C375" t="s">
        <v>16</v>
      </c>
      <c r="D375" s="2">
        <v>63754</v>
      </c>
      <c r="E375" s="2">
        <v>40201</v>
      </c>
      <c r="F375" s="2">
        <v>23553</v>
      </c>
      <c r="G375" s="1">
        <v>0.369435643253757</v>
      </c>
    </row>
    <row r="376" spans="1:7" x14ac:dyDescent="0.35">
      <c r="A376" t="s">
        <v>9</v>
      </c>
      <c r="B376" s="3">
        <v>44958</v>
      </c>
      <c r="C376" t="s">
        <v>17</v>
      </c>
      <c r="D376" s="2">
        <v>240050</v>
      </c>
      <c r="E376" s="2">
        <v>157024</v>
      </c>
      <c r="F376" s="2">
        <v>83026</v>
      </c>
      <c r="G376" s="1">
        <v>0.34586961049781301</v>
      </c>
    </row>
    <row r="377" spans="1:7" x14ac:dyDescent="0.35">
      <c r="A377" t="s">
        <v>9</v>
      </c>
      <c r="B377" s="3">
        <v>44958</v>
      </c>
      <c r="C377" t="s">
        <v>18</v>
      </c>
      <c r="D377" s="2">
        <v>92660</v>
      </c>
      <c r="E377" s="2">
        <v>71615</v>
      </c>
      <c r="F377" s="2">
        <v>21045</v>
      </c>
      <c r="G377" s="1">
        <v>0.227120656162314</v>
      </c>
    </row>
    <row r="378" spans="1:7" x14ac:dyDescent="0.35">
      <c r="A378" t="s">
        <v>11</v>
      </c>
      <c r="B378" s="3">
        <v>44958</v>
      </c>
      <c r="C378" t="s">
        <v>19</v>
      </c>
      <c r="D378" s="2">
        <v>306497</v>
      </c>
      <c r="E378" s="2">
        <v>146548</v>
      </c>
      <c r="F378" s="2">
        <v>159949</v>
      </c>
      <c r="G378" s="1">
        <v>0.521861551662822</v>
      </c>
    </row>
    <row r="379" spans="1:7" x14ac:dyDescent="0.35">
      <c r="A379" t="s">
        <v>9</v>
      </c>
      <c r="B379" s="3">
        <v>44958</v>
      </c>
      <c r="C379" t="s">
        <v>20</v>
      </c>
      <c r="D379" s="2">
        <v>42290</v>
      </c>
      <c r="E379" s="2">
        <v>29932</v>
      </c>
      <c r="F379" s="2">
        <v>12358</v>
      </c>
      <c r="G379" s="1">
        <v>0.292220383069284</v>
      </c>
    </row>
    <row r="380" spans="1:7" x14ac:dyDescent="0.35">
      <c r="A380" t="s">
        <v>9</v>
      </c>
      <c r="B380" s="3">
        <v>44958</v>
      </c>
      <c r="C380" t="s">
        <v>21</v>
      </c>
      <c r="D380" s="2">
        <v>37969</v>
      </c>
      <c r="E380" s="2">
        <v>37239</v>
      </c>
      <c r="F380" s="2">
        <v>730</v>
      </c>
      <c r="G380" s="1">
        <v>1.92262108562248E-2</v>
      </c>
    </row>
    <row r="381" spans="1:7" x14ac:dyDescent="0.35">
      <c r="A381" t="s">
        <v>11</v>
      </c>
      <c r="B381" s="3">
        <v>44958</v>
      </c>
      <c r="C381" t="s">
        <v>22</v>
      </c>
      <c r="D381" s="2">
        <v>12957</v>
      </c>
      <c r="E381" s="2">
        <v>6124</v>
      </c>
      <c r="F381" s="2">
        <v>6833</v>
      </c>
      <c r="G381" s="1">
        <v>0.52735972833217604</v>
      </c>
    </row>
    <row r="382" spans="1:7" x14ac:dyDescent="0.35">
      <c r="A382" t="s">
        <v>11</v>
      </c>
      <c r="B382" s="3">
        <v>44958</v>
      </c>
      <c r="C382" t="s">
        <v>23</v>
      </c>
      <c r="D382" s="2">
        <v>31828</v>
      </c>
      <c r="E382" s="2">
        <v>22886</v>
      </c>
      <c r="F382" s="2">
        <v>8942</v>
      </c>
      <c r="G382" s="1">
        <v>0.28094759331406299</v>
      </c>
    </row>
    <row r="383" spans="1:7" x14ac:dyDescent="0.35">
      <c r="A383" t="s">
        <v>9</v>
      </c>
      <c r="B383" s="3">
        <v>44958</v>
      </c>
      <c r="C383" t="s">
        <v>24</v>
      </c>
      <c r="D383" s="2">
        <v>23659</v>
      </c>
      <c r="E383" s="2">
        <v>16763</v>
      </c>
      <c r="F383" s="2">
        <v>6896</v>
      </c>
      <c r="G383" s="1">
        <v>0.29147470307282602</v>
      </c>
    </row>
    <row r="384" spans="1:7" x14ac:dyDescent="0.35">
      <c r="A384" t="s">
        <v>11</v>
      </c>
      <c r="B384" s="3">
        <v>44958</v>
      </c>
      <c r="C384" t="s">
        <v>25</v>
      </c>
      <c r="D384" s="2">
        <v>210156</v>
      </c>
      <c r="E384" s="2">
        <v>103052</v>
      </c>
      <c r="F384" s="2">
        <v>107104</v>
      </c>
      <c r="G384" s="1">
        <v>0.50964045756485699</v>
      </c>
    </row>
    <row r="385" spans="1:7" x14ac:dyDescent="0.35">
      <c r="A385" t="s">
        <v>9</v>
      </c>
      <c r="B385" s="3">
        <v>44958</v>
      </c>
      <c r="C385" t="s">
        <v>26</v>
      </c>
      <c r="D385" s="2">
        <v>164260</v>
      </c>
      <c r="E385" s="2">
        <v>135393</v>
      </c>
      <c r="F385" s="2">
        <v>28867</v>
      </c>
      <c r="G385" s="1">
        <v>0.175739680993547</v>
      </c>
    </row>
    <row r="386" spans="1:7" x14ac:dyDescent="0.35">
      <c r="A386" t="s">
        <v>9</v>
      </c>
      <c r="B386" s="3">
        <v>44958</v>
      </c>
      <c r="C386" t="s">
        <v>27</v>
      </c>
      <c r="D386" s="2">
        <v>3588</v>
      </c>
      <c r="E386" s="2">
        <v>2917</v>
      </c>
      <c r="F386" s="2">
        <v>671</v>
      </c>
      <c r="G386" s="1">
        <v>0.18701226309922001</v>
      </c>
    </row>
    <row r="387" spans="1:7" x14ac:dyDescent="0.35">
      <c r="A387" t="s">
        <v>9</v>
      </c>
      <c r="B387" s="3">
        <v>44958</v>
      </c>
      <c r="C387" t="s">
        <v>28</v>
      </c>
      <c r="D387" s="2">
        <v>20500</v>
      </c>
      <c r="E387" s="2">
        <v>15356</v>
      </c>
      <c r="F387" s="2">
        <v>5144</v>
      </c>
      <c r="G387" s="1">
        <v>0.25092682926829302</v>
      </c>
    </row>
    <row r="388" spans="1:7" x14ac:dyDescent="0.35">
      <c r="A388" t="s">
        <v>9</v>
      </c>
      <c r="B388" s="3">
        <v>44958</v>
      </c>
      <c r="C388" t="s">
        <v>29</v>
      </c>
      <c r="D388" s="2">
        <v>337966</v>
      </c>
      <c r="E388" s="2">
        <v>194913</v>
      </c>
      <c r="F388" s="2">
        <v>143053</v>
      </c>
      <c r="G388" s="1">
        <v>0.42327630590059401</v>
      </c>
    </row>
    <row r="389" spans="1:7" x14ac:dyDescent="0.35">
      <c r="A389" t="s">
        <v>11</v>
      </c>
      <c r="B389" s="3">
        <v>44958</v>
      </c>
      <c r="C389" t="s">
        <v>30</v>
      </c>
      <c r="D389" s="2">
        <v>373863</v>
      </c>
      <c r="E389" s="2">
        <v>238906</v>
      </c>
      <c r="F389" s="2">
        <v>134957</v>
      </c>
      <c r="G389" s="1">
        <v>0.36097982416018698</v>
      </c>
    </row>
    <row r="390" spans="1:7" x14ac:dyDescent="0.35">
      <c r="A390" t="s">
        <v>9</v>
      </c>
      <c r="B390" s="3">
        <v>44958</v>
      </c>
      <c r="C390" t="s">
        <v>31</v>
      </c>
      <c r="D390" s="2">
        <v>65432</v>
      </c>
      <c r="E390" s="2">
        <v>54532</v>
      </c>
      <c r="F390" s="2">
        <v>10900</v>
      </c>
      <c r="G390" s="1">
        <v>0.16658515710967101</v>
      </c>
    </row>
    <row r="391" spans="1:7" x14ac:dyDescent="0.35">
      <c r="A391" t="s">
        <v>9</v>
      </c>
      <c r="B391" s="3">
        <v>44958</v>
      </c>
      <c r="C391" t="s">
        <v>32</v>
      </c>
      <c r="D391" s="2">
        <v>30372</v>
      </c>
      <c r="E391" s="2">
        <v>26126</v>
      </c>
      <c r="F391" s="2">
        <v>4246</v>
      </c>
      <c r="G391" s="1">
        <v>0.13979981561964999</v>
      </c>
    </row>
    <row r="392" spans="1:7" x14ac:dyDescent="0.35">
      <c r="A392" t="s">
        <v>9</v>
      </c>
      <c r="B392" s="3">
        <v>44958</v>
      </c>
      <c r="C392" t="s">
        <v>33</v>
      </c>
      <c r="D392" s="2">
        <v>7545</v>
      </c>
      <c r="E392" s="2">
        <v>3396</v>
      </c>
      <c r="F392" s="2">
        <v>4149</v>
      </c>
      <c r="G392" s="1">
        <v>0.54990059642147104</v>
      </c>
    </row>
    <row r="393" spans="1:7" x14ac:dyDescent="0.35">
      <c r="A393" t="s">
        <v>9</v>
      </c>
      <c r="B393" s="3">
        <v>44927</v>
      </c>
      <c r="C393" t="s">
        <v>10</v>
      </c>
      <c r="D393" s="2">
        <v>9425</v>
      </c>
      <c r="E393" s="2">
        <v>9195</v>
      </c>
      <c r="F393" s="2">
        <v>230</v>
      </c>
      <c r="G393" s="1">
        <v>2.4403183023872701E-2</v>
      </c>
    </row>
    <row r="394" spans="1:7" x14ac:dyDescent="0.35">
      <c r="A394" t="s">
        <v>11</v>
      </c>
      <c r="B394" s="3">
        <v>44927</v>
      </c>
      <c r="C394" t="s">
        <v>12</v>
      </c>
      <c r="D394" s="2">
        <v>857159</v>
      </c>
      <c r="E394" s="2">
        <v>312966</v>
      </c>
      <c r="F394" s="2">
        <v>544193</v>
      </c>
      <c r="G394" s="1">
        <v>0.63487987642899402</v>
      </c>
    </row>
    <row r="395" spans="1:7" x14ac:dyDescent="0.35">
      <c r="A395" t="s">
        <v>11</v>
      </c>
      <c r="B395" s="3">
        <v>44927</v>
      </c>
      <c r="C395" t="s">
        <v>13</v>
      </c>
      <c r="D395" s="2">
        <v>20077</v>
      </c>
      <c r="E395" s="2">
        <v>15112</v>
      </c>
      <c r="F395" s="2">
        <v>4965</v>
      </c>
      <c r="G395" s="1">
        <v>0.24729790307316801</v>
      </c>
    </row>
    <row r="396" spans="1:7" x14ac:dyDescent="0.35">
      <c r="A396" t="s">
        <v>9</v>
      </c>
      <c r="B396" s="3">
        <v>44927</v>
      </c>
      <c r="C396" t="s">
        <v>14</v>
      </c>
      <c r="D396" s="2">
        <v>25000</v>
      </c>
      <c r="E396" s="2">
        <v>18114</v>
      </c>
      <c r="F396" s="2">
        <v>6886</v>
      </c>
      <c r="G396" s="1">
        <v>0.27544000000000002</v>
      </c>
    </row>
    <row r="397" spans="1:7" x14ac:dyDescent="0.35">
      <c r="A397" t="s">
        <v>9</v>
      </c>
      <c r="B397" s="3">
        <v>44927</v>
      </c>
      <c r="C397" t="s">
        <v>15</v>
      </c>
      <c r="D397" s="2">
        <v>179958</v>
      </c>
      <c r="E397" s="2">
        <v>107252</v>
      </c>
      <c r="F397" s="2">
        <v>72706</v>
      </c>
      <c r="G397" s="1">
        <v>0.40401649273719398</v>
      </c>
    </row>
    <row r="398" spans="1:7" x14ac:dyDescent="0.35">
      <c r="A398" t="s">
        <v>9</v>
      </c>
      <c r="B398" s="3">
        <v>44927</v>
      </c>
      <c r="C398" t="s">
        <v>16</v>
      </c>
      <c r="D398" s="2">
        <v>70179</v>
      </c>
      <c r="E398" s="2">
        <v>40466</v>
      </c>
      <c r="F398" s="2">
        <v>29713</v>
      </c>
      <c r="G398" s="1">
        <v>0.423388763020277</v>
      </c>
    </row>
    <row r="399" spans="1:7" x14ac:dyDescent="0.35">
      <c r="A399" t="s">
        <v>9</v>
      </c>
      <c r="B399" s="3">
        <v>44927</v>
      </c>
      <c r="C399" t="s">
        <v>17</v>
      </c>
      <c r="D399" s="2">
        <v>270832</v>
      </c>
      <c r="E399" s="2">
        <v>167278</v>
      </c>
      <c r="F399" s="2">
        <v>103554</v>
      </c>
      <c r="G399" s="1">
        <v>0.38235511313286502</v>
      </c>
    </row>
    <row r="400" spans="1:7" x14ac:dyDescent="0.35">
      <c r="A400" t="s">
        <v>9</v>
      </c>
      <c r="B400" s="3">
        <v>44927</v>
      </c>
      <c r="C400" t="s">
        <v>18</v>
      </c>
      <c r="D400" s="2">
        <v>102630</v>
      </c>
      <c r="E400" s="2">
        <v>78345</v>
      </c>
      <c r="F400" s="2">
        <v>24285</v>
      </c>
      <c r="G400" s="1">
        <v>0.236626717334113</v>
      </c>
    </row>
    <row r="401" spans="1:7" x14ac:dyDescent="0.35">
      <c r="A401" t="s">
        <v>11</v>
      </c>
      <c r="B401" s="3">
        <v>44927</v>
      </c>
      <c r="C401" t="s">
        <v>19</v>
      </c>
      <c r="D401" s="2">
        <v>358278</v>
      </c>
      <c r="E401" s="2">
        <v>156125</v>
      </c>
      <c r="F401" s="2">
        <v>202153</v>
      </c>
      <c r="G401" s="1">
        <v>0.56423503536359998</v>
      </c>
    </row>
    <row r="402" spans="1:7" x14ac:dyDescent="0.35">
      <c r="A402" t="s">
        <v>9</v>
      </c>
      <c r="B402" s="3">
        <v>44927</v>
      </c>
      <c r="C402" t="s">
        <v>20</v>
      </c>
      <c r="D402" s="2">
        <v>47148</v>
      </c>
      <c r="E402" s="2">
        <v>31834</v>
      </c>
      <c r="F402" s="2">
        <v>15314</v>
      </c>
      <c r="G402" s="1">
        <v>0.32480699075252401</v>
      </c>
    </row>
    <row r="403" spans="1:7" x14ac:dyDescent="0.35">
      <c r="A403" t="s">
        <v>9</v>
      </c>
      <c r="B403" s="3">
        <v>44927</v>
      </c>
      <c r="C403" t="s">
        <v>21</v>
      </c>
      <c r="D403" s="2">
        <v>38965</v>
      </c>
      <c r="E403" s="2">
        <v>26931</v>
      </c>
      <c r="F403" s="2">
        <v>12034</v>
      </c>
      <c r="G403" s="1">
        <v>0.30884126780443999</v>
      </c>
    </row>
    <row r="404" spans="1:7" x14ac:dyDescent="0.35">
      <c r="A404" t="s">
        <v>11</v>
      </c>
      <c r="B404" s="3">
        <v>44927</v>
      </c>
      <c r="C404" t="s">
        <v>22</v>
      </c>
      <c r="D404" s="2">
        <v>14326</v>
      </c>
      <c r="E404" s="2">
        <v>7197</v>
      </c>
      <c r="F404" s="2">
        <v>7129</v>
      </c>
      <c r="G404" s="1">
        <v>0.497626692726511</v>
      </c>
    </row>
    <row r="405" spans="1:7" x14ac:dyDescent="0.35">
      <c r="A405" t="s">
        <v>11</v>
      </c>
      <c r="B405" s="3">
        <v>44927</v>
      </c>
      <c r="C405" t="s">
        <v>23</v>
      </c>
      <c r="D405" s="2">
        <v>35644</v>
      </c>
      <c r="E405" s="2">
        <v>23883</v>
      </c>
      <c r="F405" s="2">
        <v>11761</v>
      </c>
      <c r="G405" s="1">
        <v>0.32995735607675902</v>
      </c>
    </row>
    <row r="406" spans="1:7" x14ac:dyDescent="0.35">
      <c r="A406" t="s">
        <v>9</v>
      </c>
      <c r="B406" s="3">
        <v>44927</v>
      </c>
      <c r="C406" t="s">
        <v>24</v>
      </c>
      <c r="D406" s="2">
        <v>28793</v>
      </c>
      <c r="E406" s="2">
        <v>18114</v>
      </c>
      <c r="F406" s="2">
        <v>10679</v>
      </c>
      <c r="G406" s="1">
        <v>0.37088875768415902</v>
      </c>
    </row>
    <row r="407" spans="1:7" x14ac:dyDescent="0.35">
      <c r="A407" t="s">
        <v>11</v>
      </c>
      <c r="B407" s="3">
        <v>44927</v>
      </c>
      <c r="C407" t="s">
        <v>25</v>
      </c>
      <c r="D407" s="2">
        <v>237065</v>
      </c>
      <c r="E407" s="2">
        <v>103783</v>
      </c>
      <c r="F407" s="2">
        <v>133282</v>
      </c>
      <c r="G407" s="1">
        <v>0.562217113449898</v>
      </c>
    </row>
    <row r="408" spans="1:7" x14ac:dyDescent="0.35">
      <c r="A408" t="s">
        <v>9</v>
      </c>
      <c r="B408" s="3">
        <v>44927</v>
      </c>
      <c r="C408" t="s">
        <v>26</v>
      </c>
      <c r="D408" s="2">
        <v>191764</v>
      </c>
      <c r="E408" s="2">
        <v>138957</v>
      </c>
      <c r="F408" s="2">
        <v>52807</v>
      </c>
      <c r="G408" s="1">
        <v>0.27537494003045399</v>
      </c>
    </row>
    <row r="409" spans="1:7" x14ac:dyDescent="0.35">
      <c r="A409" t="s">
        <v>9</v>
      </c>
      <c r="B409" s="3">
        <v>44927</v>
      </c>
      <c r="C409" t="s">
        <v>27</v>
      </c>
      <c r="D409" s="2">
        <v>4641</v>
      </c>
      <c r="E409" s="2">
        <v>2935</v>
      </c>
      <c r="F409" s="2">
        <v>1706</v>
      </c>
      <c r="G409" s="1">
        <v>0.36759319112260302</v>
      </c>
    </row>
    <row r="410" spans="1:7" x14ac:dyDescent="0.35">
      <c r="A410" t="s">
        <v>9</v>
      </c>
      <c r="B410" s="3">
        <v>44927</v>
      </c>
      <c r="C410" t="s">
        <v>28</v>
      </c>
      <c r="D410" s="2">
        <v>23634</v>
      </c>
      <c r="E410" s="2">
        <v>15095</v>
      </c>
      <c r="F410" s="2">
        <v>8539</v>
      </c>
      <c r="G410" s="1">
        <v>0.36130151476686101</v>
      </c>
    </row>
    <row r="411" spans="1:7" x14ac:dyDescent="0.35">
      <c r="A411" t="s">
        <v>9</v>
      </c>
      <c r="B411" s="3">
        <v>44927</v>
      </c>
      <c r="C411" t="s">
        <v>29</v>
      </c>
      <c r="D411" s="2">
        <v>378667</v>
      </c>
      <c r="E411" s="2">
        <v>220473</v>
      </c>
      <c r="F411" s="2">
        <v>158194</v>
      </c>
      <c r="G411" s="1">
        <v>0.417765477319122</v>
      </c>
    </row>
    <row r="412" spans="1:7" x14ac:dyDescent="0.35">
      <c r="A412" t="s">
        <v>11</v>
      </c>
      <c r="B412" s="3">
        <v>44927</v>
      </c>
      <c r="C412" t="s">
        <v>30</v>
      </c>
      <c r="D412" s="2">
        <v>398262</v>
      </c>
      <c r="E412" s="2">
        <v>244847</v>
      </c>
      <c r="F412" s="2">
        <v>153415</v>
      </c>
      <c r="G412" s="1">
        <v>0.38521124285018399</v>
      </c>
    </row>
    <row r="413" spans="1:7" x14ac:dyDescent="0.35">
      <c r="A413" t="s">
        <v>9</v>
      </c>
      <c r="B413" s="3">
        <v>44927</v>
      </c>
      <c r="C413" t="s">
        <v>31</v>
      </c>
      <c r="D413" s="2">
        <v>62792</v>
      </c>
      <c r="E413" s="2">
        <v>57353</v>
      </c>
      <c r="F413" s="2">
        <v>5439</v>
      </c>
      <c r="G413" s="1">
        <v>8.6619314562364602E-2</v>
      </c>
    </row>
    <row r="414" spans="1:7" x14ac:dyDescent="0.35">
      <c r="A414" t="s">
        <v>9</v>
      </c>
      <c r="B414" s="3">
        <v>44927</v>
      </c>
      <c r="C414" t="s">
        <v>32</v>
      </c>
      <c r="D414" s="2">
        <v>34648</v>
      </c>
      <c r="E414" s="2">
        <v>28315</v>
      </c>
      <c r="F414" s="2">
        <v>6333</v>
      </c>
      <c r="G414" s="1">
        <v>0.18278111290695001</v>
      </c>
    </row>
    <row r="415" spans="1:7" x14ac:dyDescent="0.35">
      <c r="A415" t="s">
        <v>9</v>
      </c>
      <c r="B415" s="3">
        <v>44927</v>
      </c>
      <c r="C415" t="s">
        <v>33</v>
      </c>
      <c r="D415" s="2">
        <v>10180</v>
      </c>
      <c r="E415" s="2">
        <v>4585</v>
      </c>
      <c r="F415" s="2">
        <v>5595</v>
      </c>
      <c r="G415" s="1">
        <v>0.54960707269155196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7329E-4980-4066-9B39-D33DA91DF549}">
  <dimension ref="A1:E415"/>
  <sheetViews>
    <sheetView workbookViewId="0">
      <selection activeCell="D14" sqref="D14"/>
    </sheetView>
  </sheetViews>
  <sheetFormatPr defaultRowHeight="14.5" x14ac:dyDescent="0.35"/>
  <cols>
    <col min="1" max="1" width="10.54296875" bestFit="1" customWidth="1"/>
    <col min="2" max="2" width="10.453125" bestFit="1" customWidth="1"/>
    <col min="3" max="3" width="24.54296875" bestFit="1" customWidth="1"/>
    <col min="4" max="4" width="32.1796875" bestFit="1" customWidth="1"/>
    <col min="5" max="5" width="28.453125" bestFit="1" customWidth="1"/>
  </cols>
  <sheetData>
    <row r="1" spans="1:5" x14ac:dyDescent="0.35">
      <c r="A1" t="s">
        <v>7</v>
      </c>
      <c r="B1" t="s">
        <v>34</v>
      </c>
      <c r="C1" t="s">
        <v>8</v>
      </c>
      <c r="D1" t="s">
        <v>35</v>
      </c>
      <c r="E1" t="s">
        <v>36</v>
      </c>
    </row>
    <row r="2" spans="1:5" x14ac:dyDescent="0.35">
      <c r="A2" t="s">
        <v>9</v>
      </c>
      <c r="B2" s="8">
        <v>45444</v>
      </c>
      <c r="C2" t="s">
        <v>37</v>
      </c>
      <c r="D2">
        <v>8952</v>
      </c>
      <c r="E2">
        <v>7978</v>
      </c>
    </row>
    <row r="3" spans="1:5" x14ac:dyDescent="0.35">
      <c r="A3" t="s">
        <v>9</v>
      </c>
      <c r="B3" s="8">
        <v>45413</v>
      </c>
      <c r="C3" t="s">
        <v>37</v>
      </c>
      <c r="D3">
        <v>8811</v>
      </c>
      <c r="E3">
        <v>8105</v>
      </c>
    </row>
    <row r="4" spans="1:5" x14ac:dyDescent="0.35">
      <c r="A4" t="s">
        <v>9</v>
      </c>
      <c r="B4" s="8">
        <v>45383</v>
      </c>
      <c r="C4" t="s">
        <v>37</v>
      </c>
      <c r="D4">
        <v>8633</v>
      </c>
      <c r="E4">
        <v>7850</v>
      </c>
    </row>
    <row r="5" spans="1:5" x14ac:dyDescent="0.35">
      <c r="A5" t="s">
        <v>9</v>
      </c>
      <c r="B5" s="8">
        <v>45352</v>
      </c>
      <c r="C5" t="s">
        <v>37</v>
      </c>
      <c r="D5">
        <v>9520</v>
      </c>
      <c r="E5">
        <v>8213</v>
      </c>
    </row>
    <row r="6" spans="1:5" x14ac:dyDescent="0.35">
      <c r="A6" t="s">
        <v>9</v>
      </c>
      <c r="B6" s="8">
        <v>45323</v>
      </c>
      <c r="C6" t="s">
        <v>37</v>
      </c>
      <c r="D6">
        <v>9441</v>
      </c>
      <c r="E6">
        <v>10309</v>
      </c>
    </row>
    <row r="7" spans="1:5" x14ac:dyDescent="0.35">
      <c r="A7" t="s">
        <v>9</v>
      </c>
      <c r="B7" s="8">
        <v>45292</v>
      </c>
      <c r="C7" t="s">
        <v>37</v>
      </c>
      <c r="D7">
        <v>8906</v>
      </c>
      <c r="E7">
        <v>9246</v>
      </c>
    </row>
    <row r="8" spans="1:5" x14ac:dyDescent="0.35">
      <c r="A8" t="s">
        <v>9</v>
      </c>
      <c r="B8" s="8">
        <v>45261</v>
      </c>
      <c r="C8" t="s">
        <v>37</v>
      </c>
      <c r="D8">
        <v>9004</v>
      </c>
      <c r="E8">
        <v>7446</v>
      </c>
    </row>
    <row r="9" spans="1:5" x14ac:dyDescent="0.35">
      <c r="A9" t="s">
        <v>9</v>
      </c>
      <c r="B9" s="8">
        <v>45231</v>
      </c>
      <c r="C9" t="s">
        <v>37</v>
      </c>
      <c r="D9">
        <v>8390</v>
      </c>
      <c r="E9">
        <v>8163</v>
      </c>
    </row>
    <row r="10" spans="1:5" x14ac:dyDescent="0.35">
      <c r="A10" t="s">
        <v>9</v>
      </c>
      <c r="B10" s="8">
        <v>45200</v>
      </c>
      <c r="C10" t="s">
        <v>37</v>
      </c>
      <c r="D10">
        <v>8505</v>
      </c>
      <c r="E10">
        <v>8053</v>
      </c>
    </row>
    <row r="11" spans="1:5" x14ac:dyDescent="0.35">
      <c r="A11" t="s">
        <v>9</v>
      </c>
      <c r="B11" s="8">
        <v>45170</v>
      </c>
      <c r="C11" t="s">
        <v>37</v>
      </c>
      <c r="D11">
        <v>7254</v>
      </c>
      <c r="E11">
        <v>7206</v>
      </c>
    </row>
    <row r="12" spans="1:5" x14ac:dyDescent="0.35">
      <c r="A12" t="s">
        <v>9</v>
      </c>
      <c r="B12" s="8">
        <v>45139</v>
      </c>
      <c r="C12" t="s">
        <v>37</v>
      </c>
      <c r="D12">
        <v>7315</v>
      </c>
      <c r="E12">
        <v>6429</v>
      </c>
    </row>
    <row r="13" spans="1:5" x14ac:dyDescent="0.35">
      <c r="A13" t="s">
        <v>9</v>
      </c>
      <c r="B13" s="8">
        <v>45108</v>
      </c>
      <c r="C13" t="s">
        <v>37</v>
      </c>
      <c r="D13">
        <v>7210</v>
      </c>
      <c r="E13">
        <v>7011</v>
      </c>
    </row>
    <row r="14" spans="1:5" x14ac:dyDescent="0.35">
      <c r="A14" t="s">
        <v>9</v>
      </c>
      <c r="B14" s="8">
        <v>45078</v>
      </c>
      <c r="C14" t="s">
        <v>37</v>
      </c>
      <c r="D14">
        <v>10419</v>
      </c>
      <c r="E14">
        <v>7281</v>
      </c>
    </row>
    <row r="15" spans="1:5" x14ac:dyDescent="0.35">
      <c r="A15" t="s">
        <v>9</v>
      </c>
      <c r="B15" s="8">
        <v>45047</v>
      </c>
      <c r="C15" t="s">
        <v>37</v>
      </c>
      <c r="D15">
        <v>11956</v>
      </c>
      <c r="E15">
        <v>6565</v>
      </c>
    </row>
    <row r="16" spans="1:5" x14ac:dyDescent="0.35">
      <c r="A16" t="s">
        <v>9</v>
      </c>
      <c r="B16" s="8">
        <v>45017</v>
      </c>
      <c r="C16" t="s">
        <v>37</v>
      </c>
      <c r="D16">
        <v>10263</v>
      </c>
      <c r="E16">
        <v>8672</v>
      </c>
    </row>
    <row r="17" spans="1:5" x14ac:dyDescent="0.35">
      <c r="A17" t="s">
        <v>9</v>
      </c>
      <c r="B17" s="8">
        <v>44986</v>
      </c>
      <c r="C17" t="s">
        <v>37</v>
      </c>
      <c r="D17">
        <v>9003</v>
      </c>
      <c r="E17">
        <v>7415</v>
      </c>
    </row>
    <row r="18" spans="1:5" x14ac:dyDescent="0.35">
      <c r="A18" t="s">
        <v>9</v>
      </c>
      <c r="B18" s="8">
        <v>44958</v>
      </c>
      <c r="C18" t="s">
        <v>37</v>
      </c>
      <c r="D18">
        <v>8340</v>
      </c>
      <c r="E18">
        <v>8961</v>
      </c>
    </row>
    <row r="19" spans="1:5" x14ac:dyDescent="0.35">
      <c r="A19" t="s">
        <v>9</v>
      </c>
      <c r="B19" s="8">
        <v>44927</v>
      </c>
      <c r="C19" t="s">
        <v>37</v>
      </c>
      <c r="D19">
        <v>9425</v>
      </c>
      <c r="E19">
        <v>9195</v>
      </c>
    </row>
    <row r="20" spans="1:5" x14ac:dyDescent="0.35">
      <c r="A20" t="s">
        <v>11</v>
      </c>
      <c r="B20" s="8">
        <v>45444</v>
      </c>
      <c r="C20" t="s">
        <v>38</v>
      </c>
      <c r="D20">
        <v>766641</v>
      </c>
      <c r="E20">
        <v>267624</v>
      </c>
    </row>
    <row r="21" spans="1:5" x14ac:dyDescent="0.35">
      <c r="A21" t="s">
        <v>11</v>
      </c>
      <c r="B21" s="8">
        <v>45413</v>
      </c>
      <c r="C21" t="s">
        <v>38</v>
      </c>
      <c r="D21">
        <v>777985</v>
      </c>
      <c r="E21">
        <v>277650</v>
      </c>
    </row>
    <row r="22" spans="1:5" x14ac:dyDescent="0.35">
      <c r="A22" t="s">
        <v>11</v>
      </c>
      <c r="B22" s="8">
        <v>45383</v>
      </c>
      <c r="C22" t="s">
        <v>38</v>
      </c>
      <c r="D22">
        <v>750075</v>
      </c>
      <c r="E22">
        <v>258576</v>
      </c>
    </row>
    <row r="23" spans="1:5" x14ac:dyDescent="0.35">
      <c r="A23" t="s">
        <v>11</v>
      </c>
      <c r="B23" s="8">
        <v>45352</v>
      </c>
      <c r="C23" t="s">
        <v>38</v>
      </c>
      <c r="D23">
        <v>821754</v>
      </c>
      <c r="E23">
        <v>294713</v>
      </c>
    </row>
    <row r="24" spans="1:5" x14ac:dyDescent="0.35">
      <c r="A24" t="s">
        <v>11</v>
      </c>
      <c r="B24" s="8">
        <v>45323</v>
      </c>
      <c r="C24" t="s">
        <v>38</v>
      </c>
      <c r="D24">
        <v>798998</v>
      </c>
      <c r="E24">
        <v>299294</v>
      </c>
    </row>
    <row r="25" spans="1:5" x14ac:dyDescent="0.35">
      <c r="A25" t="s">
        <v>11</v>
      </c>
      <c r="B25" s="8">
        <v>45292</v>
      </c>
      <c r="C25" t="s">
        <v>38</v>
      </c>
      <c r="D25">
        <v>852844</v>
      </c>
      <c r="E25">
        <v>298297</v>
      </c>
    </row>
    <row r="26" spans="1:5" x14ac:dyDescent="0.35">
      <c r="A26" t="s">
        <v>11</v>
      </c>
      <c r="B26" s="8">
        <v>45261</v>
      </c>
      <c r="C26" t="s">
        <v>38</v>
      </c>
      <c r="D26">
        <v>874347</v>
      </c>
      <c r="E26">
        <v>260736</v>
      </c>
    </row>
    <row r="27" spans="1:5" x14ac:dyDescent="0.35">
      <c r="A27" t="s">
        <v>11</v>
      </c>
      <c r="B27" s="8">
        <v>45231</v>
      </c>
      <c r="C27" t="s">
        <v>38</v>
      </c>
      <c r="D27">
        <v>857265</v>
      </c>
      <c r="E27">
        <v>244810</v>
      </c>
    </row>
    <row r="28" spans="1:5" x14ac:dyDescent="0.35">
      <c r="A28" t="s">
        <v>11</v>
      </c>
      <c r="B28" s="8">
        <v>45200</v>
      </c>
      <c r="C28" t="s">
        <v>38</v>
      </c>
      <c r="D28">
        <v>858010</v>
      </c>
      <c r="E28">
        <v>253871</v>
      </c>
    </row>
    <row r="29" spans="1:5" x14ac:dyDescent="0.35">
      <c r="A29" t="s">
        <v>11</v>
      </c>
      <c r="B29" s="8">
        <v>45170</v>
      </c>
      <c r="C29" t="s">
        <v>38</v>
      </c>
      <c r="D29">
        <v>837703</v>
      </c>
      <c r="E29">
        <v>252082</v>
      </c>
    </row>
    <row r="30" spans="1:5" x14ac:dyDescent="0.35">
      <c r="A30" t="s">
        <v>11</v>
      </c>
      <c r="B30" s="8">
        <v>45139</v>
      </c>
      <c r="C30" t="s">
        <v>38</v>
      </c>
      <c r="D30">
        <v>868109</v>
      </c>
      <c r="E30">
        <v>234803</v>
      </c>
    </row>
    <row r="31" spans="1:5" x14ac:dyDescent="0.35">
      <c r="A31" t="s">
        <v>11</v>
      </c>
      <c r="B31" s="8">
        <v>45108</v>
      </c>
      <c r="C31" t="s">
        <v>38</v>
      </c>
      <c r="D31">
        <v>861486</v>
      </c>
      <c r="E31">
        <v>238381</v>
      </c>
    </row>
    <row r="32" spans="1:5" x14ac:dyDescent="0.35">
      <c r="A32" t="s">
        <v>11</v>
      </c>
      <c r="B32" s="8">
        <v>45078</v>
      </c>
      <c r="C32" t="s">
        <v>38</v>
      </c>
      <c r="D32">
        <v>847048</v>
      </c>
      <c r="E32">
        <v>253235</v>
      </c>
    </row>
    <row r="33" spans="1:5" x14ac:dyDescent="0.35">
      <c r="A33" t="s">
        <v>11</v>
      </c>
      <c r="B33" s="8">
        <v>45047</v>
      </c>
      <c r="C33" t="s">
        <v>38</v>
      </c>
      <c r="D33">
        <v>852051</v>
      </c>
      <c r="E33">
        <v>245880</v>
      </c>
    </row>
    <row r="34" spans="1:5" x14ac:dyDescent="0.35">
      <c r="A34" t="s">
        <v>11</v>
      </c>
      <c r="B34" s="8">
        <v>45017</v>
      </c>
      <c r="C34" t="s">
        <v>38</v>
      </c>
      <c r="D34">
        <v>821828</v>
      </c>
      <c r="E34">
        <v>277679</v>
      </c>
    </row>
    <row r="35" spans="1:5" x14ac:dyDescent="0.35">
      <c r="A35" t="s">
        <v>11</v>
      </c>
      <c r="B35" s="8">
        <v>44986</v>
      </c>
      <c r="C35" t="s">
        <v>38</v>
      </c>
      <c r="D35">
        <v>851470</v>
      </c>
      <c r="E35">
        <v>264106</v>
      </c>
    </row>
    <row r="36" spans="1:5" x14ac:dyDescent="0.35">
      <c r="A36" t="s">
        <v>11</v>
      </c>
      <c r="B36" s="8">
        <v>44958</v>
      </c>
      <c r="C36" t="s">
        <v>38</v>
      </c>
      <c r="D36">
        <v>771610</v>
      </c>
      <c r="E36">
        <v>290139</v>
      </c>
    </row>
    <row r="37" spans="1:5" x14ac:dyDescent="0.35">
      <c r="A37" t="s">
        <v>11</v>
      </c>
      <c r="B37" s="8">
        <v>44927</v>
      </c>
      <c r="C37" t="s">
        <v>38</v>
      </c>
      <c r="D37">
        <v>857159</v>
      </c>
      <c r="E37">
        <v>312966</v>
      </c>
    </row>
    <row r="38" spans="1:5" x14ac:dyDescent="0.35">
      <c r="A38" t="s">
        <v>11</v>
      </c>
      <c r="B38" s="8">
        <v>45444</v>
      </c>
      <c r="C38" t="s">
        <v>39</v>
      </c>
      <c r="D38">
        <v>17968</v>
      </c>
      <c r="E38">
        <v>10999</v>
      </c>
    </row>
    <row r="39" spans="1:5" x14ac:dyDescent="0.35">
      <c r="A39" t="s">
        <v>11</v>
      </c>
      <c r="B39" s="8">
        <v>45413</v>
      </c>
      <c r="C39" t="s">
        <v>39</v>
      </c>
      <c r="D39">
        <v>18738</v>
      </c>
      <c r="E39">
        <v>13422</v>
      </c>
    </row>
    <row r="40" spans="1:5" x14ac:dyDescent="0.35">
      <c r="A40" t="s">
        <v>11</v>
      </c>
      <c r="B40" s="8">
        <v>45383</v>
      </c>
      <c r="C40" t="s">
        <v>39</v>
      </c>
      <c r="D40">
        <v>18598</v>
      </c>
      <c r="E40">
        <v>12767</v>
      </c>
    </row>
    <row r="41" spans="1:5" x14ac:dyDescent="0.35">
      <c r="A41" t="s">
        <v>11</v>
      </c>
      <c r="B41" s="8">
        <v>45352</v>
      </c>
      <c r="C41" t="s">
        <v>39</v>
      </c>
      <c r="D41">
        <v>19922</v>
      </c>
      <c r="E41">
        <v>13035</v>
      </c>
    </row>
    <row r="42" spans="1:5" x14ac:dyDescent="0.35">
      <c r="A42" t="s">
        <v>11</v>
      </c>
      <c r="B42" s="8">
        <v>45323</v>
      </c>
      <c r="C42" t="s">
        <v>39</v>
      </c>
      <c r="D42">
        <v>19802</v>
      </c>
      <c r="E42">
        <v>16851</v>
      </c>
    </row>
    <row r="43" spans="1:5" x14ac:dyDescent="0.35">
      <c r="A43" t="s">
        <v>11</v>
      </c>
      <c r="B43" s="8">
        <v>45292</v>
      </c>
      <c r="C43" t="s">
        <v>39</v>
      </c>
      <c r="D43">
        <v>21070</v>
      </c>
      <c r="E43">
        <v>14496</v>
      </c>
    </row>
    <row r="44" spans="1:5" x14ac:dyDescent="0.35">
      <c r="A44" t="s">
        <v>11</v>
      </c>
      <c r="B44" s="8">
        <v>45261</v>
      </c>
      <c r="C44" t="s">
        <v>39</v>
      </c>
      <c r="D44">
        <v>21481</v>
      </c>
      <c r="E44">
        <v>12518</v>
      </c>
    </row>
    <row r="45" spans="1:5" x14ac:dyDescent="0.35">
      <c r="A45" t="s">
        <v>11</v>
      </c>
      <c r="B45" s="8">
        <v>45231</v>
      </c>
      <c r="C45" t="s">
        <v>39</v>
      </c>
      <c r="D45">
        <v>20598</v>
      </c>
      <c r="E45">
        <v>13952</v>
      </c>
    </row>
    <row r="46" spans="1:5" x14ac:dyDescent="0.35">
      <c r="A46" t="s">
        <v>11</v>
      </c>
      <c r="B46" s="8">
        <v>45200</v>
      </c>
      <c r="C46" t="s">
        <v>39</v>
      </c>
      <c r="D46">
        <v>20301</v>
      </c>
      <c r="E46">
        <v>12263</v>
      </c>
    </row>
    <row r="47" spans="1:5" x14ac:dyDescent="0.35">
      <c r="A47" t="s">
        <v>11</v>
      </c>
      <c r="B47" s="8">
        <v>45170</v>
      </c>
      <c r="C47" t="s">
        <v>39</v>
      </c>
      <c r="D47">
        <v>19079</v>
      </c>
      <c r="E47">
        <v>11726</v>
      </c>
    </row>
    <row r="48" spans="1:5" x14ac:dyDescent="0.35">
      <c r="A48" t="s">
        <v>11</v>
      </c>
      <c r="B48" s="8">
        <v>45139</v>
      </c>
      <c r="C48" t="s">
        <v>39</v>
      </c>
      <c r="D48">
        <v>20342</v>
      </c>
      <c r="E48">
        <v>11661</v>
      </c>
    </row>
    <row r="49" spans="1:5" x14ac:dyDescent="0.35">
      <c r="A49" t="s">
        <v>11</v>
      </c>
      <c r="B49" s="8">
        <v>45108</v>
      </c>
      <c r="C49" t="s">
        <v>39</v>
      </c>
      <c r="D49">
        <v>20285</v>
      </c>
      <c r="E49">
        <v>11330</v>
      </c>
    </row>
    <row r="50" spans="1:5" x14ac:dyDescent="0.35">
      <c r="A50" t="s">
        <v>11</v>
      </c>
      <c r="B50" s="8">
        <v>45078</v>
      </c>
      <c r="C50" t="s">
        <v>39</v>
      </c>
      <c r="D50">
        <v>19133</v>
      </c>
      <c r="E50">
        <v>12370</v>
      </c>
    </row>
    <row r="51" spans="1:5" x14ac:dyDescent="0.35">
      <c r="A51" t="s">
        <v>11</v>
      </c>
      <c r="B51" s="8">
        <v>45047</v>
      </c>
      <c r="C51" t="s">
        <v>39</v>
      </c>
      <c r="D51">
        <v>19849</v>
      </c>
      <c r="E51">
        <v>11473</v>
      </c>
    </row>
    <row r="52" spans="1:5" x14ac:dyDescent="0.35">
      <c r="A52" t="s">
        <v>11</v>
      </c>
      <c r="B52" s="8">
        <v>45017</v>
      </c>
      <c r="C52" t="s">
        <v>39</v>
      </c>
      <c r="D52">
        <v>19559</v>
      </c>
      <c r="E52">
        <v>12459</v>
      </c>
    </row>
    <row r="53" spans="1:5" x14ac:dyDescent="0.35">
      <c r="A53" t="s">
        <v>11</v>
      </c>
      <c r="B53" s="8">
        <v>44986</v>
      </c>
      <c r="C53" t="s">
        <v>39</v>
      </c>
      <c r="D53">
        <v>20481</v>
      </c>
      <c r="E53">
        <v>13679</v>
      </c>
    </row>
    <row r="54" spans="1:5" x14ac:dyDescent="0.35">
      <c r="A54" t="s">
        <v>11</v>
      </c>
      <c r="B54" s="8">
        <v>44958</v>
      </c>
      <c r="C54" t="s">
        <v>39</v>
      </c>
      <c r="D54">
        <v>18110</v>
      </c>
      <c r="E54">
        <v>14315</v>
      </c>
    </row>
    <row r="55" spans="1:5" x14ac:dyDescent="0.35">
      <c r="A55" t="s">
        <v>11</v>
      </c>
      <c r="B55" s="8">
        <v>44927</v>
      </c>
      <c r="C55" t="s">
        <v>39</v>
      </c>
      <c r="D55">
        <v>20077</v>
      </c>
      <c r="E55">
        <v>15112</v>
      </c>
    </row>
    <row r="56" spans="1:5" x14ac:dyDescent="0.35">
      <c r="A56" t="s">
        <v>9</v>
      </c>
      <c r="B56" s="8">
        <v>45444</v>
      </c>
      <c r="C56" t="s">
        <v>40</v>
      </c>
      <c r="D56">
        <v>23870</v>
      </c>
      <c r="E56">
        <v>14396</v>
      </c>
    </row>
    <row r="57" spans="1:5" x14ac:dyDescent="0.35">
      <c r="A57" t="s">
        <v>9</v>
      </c>
      <c r="B57" s="8">
        <v>45413</v>
      </c>
      <c r="C57" t="s">
        <v>40</v>
      </c>
      <c r="D57">
        <v>23390</v>
      </c>
      <c r="E57">
        <v>15647</v>
      </c>
    </row>
    <row r="58" spans="1:5" x14ac:dyDescent="0.35">
      <c r="A58" t="s">
        <v>9</v>
      </c>
      <c r="B58" s="8">
        <v>45383</v>
      </c>
      <c r="C58" t="s">
        <v>40</v>
      </c>
      <c r="D58">
        <v>23450</v>
      </c>
      <c r="E58">
        <v>15179</v>
      </c>
    </row>
    <row r="59" spans="1:5" x14ac:dyDescent="0.35">
      <c r="A59" t="s">
        <v>9</v>
      </c>
      <c r="B59" s="8">
        <v>45352</v>
      </c>
      <c r="C59" t="s">
        <v>40</v>
      </c>
      <c r="D59">
        <v>22775</v>
      </c>
      <c r="E59">
        <v>16664</v>
      </c>
    </row>
    <row r="60" spans="1:5" x14ac:dyDescent="0.35">
      <c r="A60" t="s">
        <v>9</v>
      </c>
      <c r="B60" s="8">
        <v>45323</v>
      </c>
      <c r="C60" t="s">
        <v>40</v>
      </c>
      <c r="D60">
        <v>20821</v>
      </c>
      <c r="E60">
        <v>15116</v>
      </c>
    </row>
    <row r="61" spans="1:5" x14ac:dyDescent="0.35">
      <c r="A61" t="s">
        <v>9</v>
      </c>
      <c r="B61" s="8">
        <v>45292</v>
      </c>
      <c r="C61" t="s">
        <v>40</v>
      </c>
      <c r="D61">
        <v>21767</v>
      </c>
      <c r="E61">
        <v>17867</v>
      </c>
    </row>
    <row r="62" spans="1:5" x14ac:dyDescent="0.35">
      <c r="A62" t="s">
        <v>9</v>
      </c>
      <c r="B62" s="8">
        <v>45261</v>
      </c>
      <c r="C62" t="s">
        <v>40</v>
      </c>
      <c r="D62">
        <v>22835</v>
      </c>
      <c r="E62">
        <v>14462</v>
      </c>
    </row>
    <row r="63" spans="1:5" x14ac:dyDescent="0.35">
      <c r="A63" t="s">
        <v>9</v>
      </c>
      <c r="B63" s="8">
        <v>45231</v>
      </c>
      <c r="C63" t="s">
        <v>40</v>
      </c>
      <c r="D63">
        <v>24243</v>
      </c>
      <c r="E63">
        <v>15726</v>
      </c>
    </row>
    <row r="64" spans="1:5" x14ac:dyDescent="0.35">
      <c r="A64" t="s">
        <v>9</v>
      </c>
      <c r="B64" s="8">
        <v>45200</v>
      </c>
      <c r="C64" t="s">
        <v>40</v>
      </c>
      <c r="D64">
        <v>25926</v>
      </c>
      <c r="E64">
        <v>13682</v>
      </c>
    </row>
    <row r="65" spans="1:5" x14ac:dyDescent="0.35">
      <c r="A65" t="s">
        <v>9</v>
      </c>
      <c r="B65" s="8">
        <v>45170</v>
      </c>
      <c r="C65" t="s">
        <v>40</v>
      </c>
      <c r="D65">
        <v>24865</v>
      </c>
      <c r="E65">
        <v>13972</v>
      </c>
    </row>
    <row r="66" spans="1:5" x14ac:dyDescent="0.35">
      <c r="A66" t="s">
        <v>9</v>
      </c>
      <c r="B66" s="8">
        <v>45139</v>
      </c>
      <c r="C66" t="s">
        <v>40</v>
      </c>
      <c r="D66">
        <v>23761</v>
      </c>
      <c r="E66">
        <v>13490</v>
      </c>
    </row>
    <row r="67" spans="1:5" x14ac:dyDescent="0.35">
      <c r="A67" t="s">
        <v>9</v>
      </c>
      <c r="B67" s="8">
        <v>45108</v>
      </c>
      <c r="C67" t="s">
        <v>40</v>
      </c>
      <c r="D67">
        <v>23562</v>
      </c>
      <c r="E67">
        <v>13809</v>
      </c>
    </row>
    <row r="68" spans="1:5" x14ac:dyDescent="0.35">
      <c r="A68" t="s">
        <v>9</v>
      </c>
      <c r="B68" s="8">
        <v>45078</v>
      </c>
      <c r="C68" t="s">
        <v>40</v>
      </c>
      <c r="D68">
        <v>22097</v>
      </c>
      <c r="E68">
        <v>14212</v>
      </c>
    </row>
    <row r="69" spans="1:5" x14ac:dyDescent="0.35">
      <c r="A69" t="s">
        <v>9</v>
      </c>
      <c r="B69" s="8">
        <v>45047</v>
      </c>
      <c r="C69" t="s">
        <v>40</v>
      </c>
      <c r="D69">
        <v>22211</v>
      </c>
      <c r="E69">
        <v>13300</v>
      </c>
    </row>
    <row r="70" spans="1:5" x14ac:dyDescent="0.35">
      <c r="A70" t="s">
        <v>9</v>
      </c>
      <c r="B70" s="8">
        <v>45017</v>
      </c>
      <c r="C70" t="s">
        <v>40</v>
      </c>
      <c r="D70">
        <v>23228</v>
      </c>
      <c r="E70">
        <v>16643</v>
      </c>
    </row>
    <row r="71" spans="1:5" x14ac:dyDescent="0.35">
      <c r="A71" t="s">
        <v>9</v>
      </c>
      <c r="B71" s="8">
        <v>44986</v>
      </c>
      <c r="C71" t="s">
        <v>40</v>
      </c>
      <c r="D71">
        <v>26029</v>
      </c>
      <c r="E71">
        <v>14057</v>
      </c>
    </row>
    <row r="72" spans="1:5" x14ac:dyDescent="0.35">
      <c r="A72" t="s">
        <v>9</v>
      </c>
      <c r="B72" s="8">
        <v>44958</v>
      </c>
      <c r="C72" t="s">
        <v>40</v>
      </c>
      <c r="D72">
        <v>21812</v>
      </c>
      <c r="E72">
        <v>16763</v>
      </c>
    </row>
    <row r="73" spans="1:5" x14ac:dyDescent="0.35">
      <c r="A73" t="s">
        <v>9</v>
      </c>
      <c r="B73" s="8">
        <v>44927</v>
      </c>
      <c r="C73" t="s">
        <v>40</v>
      </c>
      <c r="D73">
        <v>25000</v>
      </c>
      <c r="E73">
        <v>18114</v>
      </c>
    </row>
    <row r="74" spans="1:5" x14ac:dyDescent="0.35">
      <c r="A74" t="s">
        <v>9</v>
      </c>
      <c r="B74" s="8">
        <v>45444</v>
      </c>
      <c r="C74" t="s">
        <v>41</v>
      </c>
      <c r="D74">
        <v>159566</v>
      </c>
      <c r="E74">
        <v>93321</v>
      </c>
    </row>
    <row r="75" spans="1:5" x14ac:dyDescent="0.35">
      <c r="A75" t="s">
        <v>9</v>
      </c>
      <c r="B75" s="8">
        <v>45413</v>
      </c>
      <c r="C75" t="s">
        <v>41</v>
      </c>
      <c r="D75">
        <v>165123</v>
      </c>
      <c r="E75">
        <v>104692</v>
      </c>
    </row>
    <row r="76" spans="1:5" x14ac:dyDescent="0.35">
      <c r="A76" t="s">
        <v>9</v>
      </c>
      <c r="B76" s="8">
        <v>45383</v>
      </c>
      <c r="C76" t="s">
        <v>41</v>
      </c>
      <c r="D76">
        <v>159011</v>
      </c>
      <c r="E76">
        <v>102185</v>
      </c>
    </row>
    <row r="77" spans="1:5" x14ac:dyDescent="0.35">
      <c r="A77" t="s">
        <v>9</v>
      </c>
      <c r="B77" s="8">
        <v>45352</v>
      </c>
      <c r="C77" t="s">
        <v>41</v>
      </c>
      <c r="D77">
        <v>167684</v>
      </c>
      <c r="E77">
        <v>105507</v>
      </c>
    </row>
    <row r="78" spans="1:5" x14ac:dyDescent="0.35">
      <c r="A78" t="s">
        <v>9</v>
      </c>
      <c r="B78" s="8">
        <v>45323</v>
      </c>
      <c r="C78" t="s">
        <v>41</v>
      </c>
      <c r="D78">
        <v>156293</v>
      </c>
      <c r="E78">
        <v>114717</v>
      </c>
    </row>
    <row r="79" spans="1:5" x14ac:dyDescent="0.35">
      <c r="A79" t="s">
        <v>9</v>
      </c>
      <c r="B79" s="8">
        <v>45292</v>
      </c>
      <c r="C79" t="s">
        <v>41</v>
      </c>
      <c r="D79">
        <v>166715</v>
      </c>
      <c r="E79">
        <v>114210</v>
      </c>
    </row>
    <row r="80" spans="1:5" x14ac:dyDescent="0.35">
      <c r="A80" t="s">
        <v>9</v>
      </c>
      <c r="B80" s="8">
        <v>45261</v>
      </c>
      <c r="C80" t="s">
        <v>41</v>
      </c>
      <c r="D80">
        <v>172596</v>
      </c>
      <c r="E80">
        <v>99671</v>
      </c>
    </row>
    <row r="81" spans="1:5" x14ac:dyDescent="0.35">
      <c r="A81" t="s">
        <v>9</v>
      </c>
      <c r="B81" s="8">
        <v>45231</v>
      </c>
      <c r="C81" t="s">
        <v>41</v>
      </c>
      <c r="D81">
        <v>157700</v>
      </c>
      <c r="E81">
        <v>94118</v>
      </c>
    </row>
    <row r="82" spans="1:5" x14ac:dyDescent="0.35">
      <c r="A82" t="s">
        <v>9</v>
      </c>
      <c r="B82" s="8">
        <v>45200</v>
      </c>
      <c r="C82" t="s">
        <v>41</v>
      </c>
      <c r="D82">
        <v>161463</v>
      </c>
      <c r="E82">
        <v>89162</v>
      </c>
    </row>
    <row r="83" spans="1:5" x14ac:dyDescent="0.35">
      <c r="A83" t="s">
        <v>9</v>
      </c>
      <c r="B83" s="8">
        <v>45170</v>
      </c>
      <c r="C83" t="s">
        <v>41</v>
      </c>
      <c r="D83">
        <v>146906</v>
      </c>
      <c r="E83">
        <v>96423</v>
      </c>
    </row>
    <row r="84" spans="1:5" x14ac:dyDescent="0.35">
      <c r="A84" t="s">
        <v>9</v>
      </c>
      <c r="B84" s="8">
        <v>45139</v>
      </c>
      <c r="C84" t="s">
        <v>41</v>
      </c>
      <c r="D84">
        <v>149429</v>
      </c>
      <c r="E84">
        <v>88152</v>
      </c>
    </row>
    <row r="85" spans="1:5" x14ac:dyDescent="0.35">
      <c r="A85" t="s">
        <v>9</v>
      </c>
      <c r="B85" s="8">
        <v>45108</v>
      </c>
      <c r="C85" t="s">
        <v>41</v>
      </c>
      <c r="D85">
        <v>148329</v>
      </c>
      <c r="E85">
        <v>99612</v>
      </c>
    </row>
    <row r="86" spans="1:5" x14ac:dyDescent="0.35">
      <c r="A86" t="s">
        <v>9</v>
      </c>
      <c r="B86" s="8">
        <v>45078</v>
      </c>
      <c r="C86" t="s">
        <v>41</v>
      </c>
      <c r="D86">
        <v>140305</v>
      </c>
      <c r="E86">
        <v>96717</v>
      </c>
    </row>
    <row r="87" spans="1:5" x14ac:dyDescent="0.35">
      <c r="A87" t="s">
        <v>9</v>
      </c>
      <c r="B87" s="8">
        <v>45047</v>
      </c>
      <c r="C87" t="s">
        <v>41</v>
      </c>
      <c r="D87">
        <v>144632</v>
      </c>
      <c r="E87">
        <v>89629</v>
      </c>
    </row>
    <row r="88" spans="1:5" x14ac:dyDescent="0.35">
      <c r="A88" t="s">
        <v>9</v>
      </c>
      <c r="B88" s="8">
        <v>45017</v>
      </c>
      <c r="C88" t="s">
        <v>41</v>
      </c>
      <c r="D88">
        <v>130696</v>
      </c>
      <c r="E88">
        <v>109521</v>
      </c>
    </row>
    <row r="89" spans="1:5" x14ac:dyDescent="0.35">
      <c r="A89" t="s">
        <v>9</v>
      </c>
      <c r="B89" s="8">
        <v>44986</v>
      </c>
      <c r="C89" t="s">
        <v>41</v>
      </c>
      <c r="D89">
        <v>175298</v>
      </c>
      <c r="E89">
        <v>97983</v>
      </c>
    </row>
    <row r="90" spans="1:5" x14ac:dyDescent="0.35">
      <c r="A90" t="s">
        <v>9</v>
      </c>
      <c r="B90" s="8">
        <v>44958</v>
      </c>
      <c r="C90" t="s">
        <v>41</v>
      </c>
      <c r="D90">
        <v>155395</v>
      </c>
      <c r="E90">
        <v>105540</v>
      </c>
    </row>
    <row r="91" spans="1:5" x14ac:dyDescent="0.35">
      <c r="A91" t="s">
        <v>9</v>
      </c>
      <c r="B91" s="8">
        <v>44927</v>
      </c>
      <c r="C91" t="s">
        <v>41</v>
      </c>
      <c r="D91">
        <v>179958</v>
      </c>
      <c r="E91">
        <v>107252</v>
      </c>
    </row>
    <row r="92" spans="1:5" x14ac:dyDescent="0.35">
      <c r="A92" t="s">
        <v>9</v>
      </c>
      <c r="B92" s="8">
        <v>45444</v>
      </c>
      <c r="C92" t="s">
        <v>42</v>
      </c>
      <c r="D92">
        <v>49113</v>
      </c>
      <c r="E92">
        <v>27934</v>
      </c>
    </row>
    <row r="93" spans="1:5" x14ac:dyDescent="0.35">
      <c r="A93" t="s">
        <v>9</v>
      </c>
      <c r="B93" s="8">
        <v>45413</v>
      </c>
      <c r="C93" t="s">
        <v>42</v>
      </c>
      <c r="D93">
        <v>43243</v>
      </c>
      <c r="E93">
        <v>36981</v>
      </c>
    </row>
    <row r="94" spans="1:5" x14ac:dyDescent="0.35">
      <c r="A94" t="s">
        <v>9</v>
      </c>
      <c r="B94" s="8">
        <v>45383</v>
      </c>
      <c r="C94" t="s">
        <v>42</v>
      </c>
      <c r="D94">
        <v>58224</v>
      </c>
      <c r="E94">
        <v>36291</v>
      </c>
    </row>
    <row r="95" spans="1:5" x14ac:dyDescent="0.35">
      <c r="A95" t="s">
        <v>9</v>
      </c>
      <c r="B95" s="8">
        <v>45352</v>
      </c>
      <c r="C95" t="s">
        <v>42</v>
      </c>
      <c r="D95">
        <v>66854</v>
      </c>
      <c r="E95">
        <v>38825</v>
      </c>
    </row>
    <row r="96" spans="1:5" x14ac:dyDescent="0.35">
      <c r="A96" t="s">
        <v>9</v>
      </c>
      <c r="B96" s="8">
        <v>45323</v>
      </c>
      <c r="C96" t="s">
        <v>42</v>
      </c>
      <c r="D96">
        <v>69397</v>
      </c>
      <c r="E96">
        <v>41651</v>
      </c>
    </row>
    <row r="97" spans="1:5" x14ac:dyDescent="0.35">
      <c r="A97" t="s">
        <v>9</v>
      </c>
      <c r="B97" s="8">
        <v>45292</v>
      </c>
      <c r="C97" t="s">
        <v>42</v>
      </c>
      <c r="D97">
        <v>67059</v>
      </c>
      <c r="E97">
        <v>44214</v>
      </c>
    </row>
    <row r="98" spans="1:5" x14ac:dyDescent="0.35">
      <c r="A98" t="s">
        <v>9</v>
      </c>
      <c r="B98" s="8">
        <v>45261</v>
      </c>
      <c r="C98" t="s">
        <v>42</v>
      </c>
      <c r="D98">
        <v>64842</v>
      </c>
      <c r="E98">
        <v>36576</v>
      </c>
    </row>
    <row r="99" spans="1:5" x14ac:dyDescent="0.35">
      <c r="A99" t="s">
        <v>9</v>
      </c>
      <c r="B99" s="8">
        <v>45231</v>
      </c>
      <c r="C99" t="s">
        <v>42</v>
      </c>
      <c r="D99">
        <v>60581</v>
      </c>
      <c r="E99">
        <v>39634</v>
      </c>
    </row>
    <row r="100" spans="1:5" x14ac:dyDescent="0.35">
      <c r="A100" t="s">
        <v>9</v>
      </c>
      <c r="B100" s="8">
        <v>45200</v>
      </c>
      <c r="C100" t="s">
        <v>42</v>
      </c>
      <c r="D100">
        <v>54190</v>
      </c>
      <c r="E100">
        <v>35742</v>
      </c>
    </row>
    <row r="101" spans="1:5" x14ac:dyDescent="0.35">
      <c r="A101" t="s">
        <v>9</v>
      </c>
      <c r="B101" s="8">
        <v>45170</v>
      </c>
      <c r="C101" t="s">
        <v>42</v>
      </c>
      <c r="D101">
        <v>63112</v>
      </c>
      <c r="E101">
        <v>35160</v>
      </c>
    </row>
    <row r="102" spans="1:5" x14ac:dyDescent="0.35">
      <c r="A102" t="s">
        <v>9</v>
      </c>
      <c r="B102" s="8">
        <v>45139</v>
      </c>
      <c r="C102" t="s">
        <v>42</v>
      </c>
      <c r="D102">
        <v>60652</v>
      </c>
      <c r="E102">
        <v>31666</v>
      </c>
    </row>
    <row r="103" spans="1:5" x14ac:dyDescent="0.35">
      <c r="A103" t="s">
        <v>9</v>
      </c>
      <c r="B103" s="8">
        <v>45108</v>
      </c>
      <c r="C103" t="s">
        <v>42</v>
      </c>
      <c r="D103">
        <v>62172</v>
      </c>
      <c r="E103">
        <v>34639</v>
      </c>
    </row>
    <row r="104" spans="1:5" x14ac:dyDescent="0.35">
      <c r="A104" t="s">
        <v>9</v>
      </c>
      <c r="B104" s="8">
        <v>45078</v>
      </c>
      <c r="C104" t="s">
        <v>42</v>
      </c>
      <c r="D104">
        <v>54633</v>
      </c>
      <c r="E104">
        <v>35708</v>
      </c>
    </row>
    <row r="105" spans="1:5" x14ac:dyDescent="0.35">
      <c r="A105" t="s">
        <v>9</v>
      </c>
      <c r="B105" s="8">
        <v>45047</v>
      </c>
      <c r="C105" t="s">
        <v>42</v>
      </c>
      <c r="D105">
        <v>55413</v>
      </c>
      <c r="E105">
        <v>33347</v>
      </c>
    </row>
    <row r="106" spans="1:5" x14ac:dyDescent="0.35">
      <c r="A106" t="s">
        <v>9</v>
      </c>
      <c r="B106" s="8">
        <v>45017</v>
      </c>
      <c r="C106" t="s">
        <v>42</v>
      </c>
      <c r="D106">
        <v>59234</v>
      </c>
      <c r="E106">
        <v>38995</v>
      </c>
    </row>
    <row r="107" spans="1:5" x14ac:dyDescent="0.35">
      <c r="A107" t="s">
        <v>9</v>
      </c>
      <c r="B107" s="8">
        <v>44986</v>
      </c>
      <c r="C107" t="s">
        <v>42</v>
      </c>
      <c r="D107">
        <v>67124</v>
      </c>
      <c r="E107">
        <v>41362</v>
      </c>
    </row>
    <row r="108" spans="1:5" x14ac:dyDescent="0.35">
      <c r="A108" t="s">
        <v>9</v>
      </c>
      <c r="B108" s="8">
        <v>44958</v>
      </c>
      <c r="C108" t="s">
        <v>42</v>
      </c>
      <c r="D108">
        <v>63754</v>
      </c>
      <c r="E108">
        <v>40201</v>
      </c>
    </row>
    <row r="109" spans="1:5" x14ac:dyDescent="0.35">
      <c r="A109" t="s">
        <v>9</v>
      </c>
      <c r="B109" s="8">
        <v>44927</v>
      </c>
      <c r="C109" t="s">
        <v>42</v>
      </c>
      <c r="D109">
        <v>70179</v>
      </c>
      <c r="E109">
        <v>40466</v>
      </c>
    </row>
    <row r="110" spans="1:5" x14ac:dyDescent="0.35">
      <c r="A110" t="s">
        <v>9</v>
      </c>
      <c r="B110" s="8">
        <v>45444</v>
      </c>
      <c r="C110" t="s">
        <v>43</v>
      </c>
      <c r="D110">
        <v>270021</v>
      </c>
      <c r="E110">
        <v>130140</v>
      </c>
    </row>
    <row r="111" spans="1:5" x14ac:dyDescent="0.35">
      <c r="A111" t="s">
        <v>9</v>
      </c>
      <c r="B111" s="8">
        <v>45413</v>
      </c>
      <c r="C111" t="s">
        <v>43</v>
      </c>
      <c r="D111">
        <v>269672</v>
      </c>
      <c r="E111">
        <v>147731</v>
      </c>
    </row>
    <row r="112" spans="1:5" x14ac:dyDescent="0.35">
      <c r="A112" t="s">
        <v>9</v>
      </c>
      <c r="B112" s="8">
        <v>45383</v>
      </c>
      <c r="C112" t="s">
        <v>43</v>
      </c>
      <c r="D112">
        <v>250489</v>
      </c>
      <c r="E112">
        <v>138315</v>
      </c>
    </row>
    <row r="113" spans="1:5" x14ac:dyDescent="0.35">
      <c r="A113" t="s">
        <v>9</v>
      </c>
      <c r="B113" s="8">
        <v>45352</v>
      </c>
      <c r="C113" t="s">
        <v>43</v>
      </c>
      <c r="D113">
        <v>269814</v>
      </c>
      <c r="E113">
        <v>152176</v>
      </c>
    </row>
    <row r="114" spans="1:5" x14ac:dyDescent="0.35">
      <c r="A114" t="s">
        <v>9</v>
      </c>
      <c r="B114" s="8">
        <v>45323</v>
      </c>
      <c r="C114" t="s">
        <v>43</v>
      </c>
      <c r="D114">
        <v>260283</v>
      </c>
      <c r="E114">
        <v>168429</v>
      </c>
    </row>
    <row r="115" spans="1:5" x14ac:dyDescent="0.35">
      <c r="A115" t="s">
        <v>9</v>
      </c>
      <c r="B115" s="8">
        <v>45292</v>
      </c>
      <c r="C115" t="s">
        <v>43</v>
      </c>
      <c r="D115">
        <v>273354</v>
      </c>
      <c r="E115">
        <v>168344</v>
      </c>
    </row>
    <row r="116" spans="1:5" x14ac:dyDescent="0.35">
      <c r="A116" t="s">
        <v>9</v>
      </c>
      <c r="B116" s="8">
        <v>45261</v>
      </c>
      <c r="C116" t="s">
        <v>43</v>
      </c>
      <c r="D116">
        <v>275984</v>
      </c>
      <c r="E116">
        <v>142231</v>
      </c>
    </row>
    <row r="117" spans="1:5" x14ac:dyDescent="0.35">
      <c r="A117" t="s">
        <v>9</v>
      </c>
      <c r="B117" s="8">
        <v>45231</v>
      </c>
      <c r="C117" t="s">
        <v>43</v>
      </c>
      <c r="D117">
        <v>264787</v>
      </c>
      <c r="E117">
        <v>139012</v>
      </c>
    </row>
    <row r="118" spans="1:5" x14ac:dyDescent="0.35">
      <c r="A118" t="s">
        <v>9</v>
      </c>
      <c r="B118" s="8">
        <v>45200</v>
      </c>
      <c r="C118" t="s">
        <v>43</v>
      </c>
      <c r="D118">
        <v>266259</v>
      </c>
      <c r="E118">
        <v>134380</v>
      </c>
    </row>
    <row r="119" spans="1:5" x14ac:dyDescent="0.35">
      <c r="A119" t="s">
        <v>9</v>
      </c>
      <c r="B119" s="8">
        <v>45170</v>
      </c>
      <c r="C119" t="s">
        <v>43</v>
      </c>
      <c r="D119">
        <v>242220</v>
      </c>
      <c r="E119">
        <v>131564</v>
      </c>
    </row>
    <row r="120" spans="1:5" x14ac:dyDescent="0.35">
      <c r="A120" t="s">
        <v>9</v>
      </c>
      <c r="B120" s="8">
        <v>45139</v>
      </c>
      <c r="C120" t="s">
        <v>43</v>
      </c>
      <c r="D120">
        <v>251859</v>
      </c>
      <c r="E120">
        <v>127914</v>
      </c>
    </row>
    <row r="121" spans="1:5" x14ac:dyDescent="0.35">
      <c r="A121" t="s">
        <v>9</v>
      </c>
      <c r="B121" s="8">
        <v>45108</v>
      </c>
      <c r="C121" t="s">
        <v>43</v>
      </c>
      <c r="D121">
        <v>250530</v>
      </c>
      <c r="E121">
        <v>125704</v>
      </c>
    </row>
    <row r="122" spans="1:5" x14ac:dyDescent="0.35">
      <c r="A122" t="s">
        <v>9</v>
      </c>
      <c r="B122" s="8">
        <v>45078</v>
      </c>
      <c r="C122" t="s">
        <v>43</v>
      </c>
      <c r="D122">
        <v>244521</v>
      </c>
      <c r="E122">
        <v>139397</v>
      </c>
    </row>
    <row r="123" spans="1:5" x14ac:dyDescent="0.35">
      <c r="A123" t="s">
        <v>9</v>
      </c>
      <c r="B123" s="8">
        <v>45047</v>
      </c>
      <c r="C123" t="s">
        <v>43</v>
      </c>
      <c r="D123">
        <v>251094</v>
      </c>
      <c r="E123">
        <v>131548</v>
      </c>
    </row>
    <row r="124" spans="1:5" x14ac:dyDescent="0.35">
      <c r="A124" t="s">
        <v>9</v>
      </c>
      <c r="B124" s="8">
        <v>45017</v>
      </c>
      <c r="C124" t="s">
        <v>43</v>
      </c>
      <c r="D124">
        <v>252282</v>
      </c>
      <c r="E124">
        <v>155365</v>
      </c>
    </row>
    <row r="125" spans="1:5" x14ac:dyDescent="0.35">
      <c r="A125" t="s">
        <v>9</v>
      </c>
      <c r="B125" s="8">
        <v>44986</v>
      </c>
      <c r="C125" t="s">
        <v>43</v>
      </c>
      <c r="D125">
        <v>268564</v>
      </c>
      <c r="E125">
        <v>144567</v>
      </c>
    </row>
    <row r="126" spans="1:5" x14ac:dyDescent="0.35">
      <c r="A126" t="s">
        <v>9</v>
      </c>
      <c r="B126" s="8">
        <v>44958</v>
      </c>
      <c r="C126" t="s">
        <v>43</v>
      </c>
      <c r="D126">
        <v>240050</v>
      </c>
      <c r="E126">
        <v>157024</v>
      </c>
    </row>
    <row r="127" spans="1:5" x14ac:dyDescent="0.35">
      <c r="A127" t="s">
        <v>9</v>
      </c>
      <c r="B127" s="8">
        <v>44927</v>
      </c>
      <c r="C127" t="s">
        <v>43</v>
      </c>
      <c r="D127">
        <v>270832</v>
      </c>
      <c r="E127">
        <v>167278</v>
      </c>
    </row>
    <row r="128" spans="1:5" x14ac:dyDescent="0.35">
      <c r="A128" t="s">
        <v>9</v>
      </c>
      <c r="B128" s="8">
        <v>45444</v>
      </c>
      <c r="C128" t="s">
        <v>44</v>
      </c>
      <c r="D128">
        <v>105963</v>
      </c>
      <c r="E128">
        <v>59456</v>
      </c>
    </row>
    <row r="129" spans="1:5" x14ac:dyDescent="0.35">
      <c r="A129" t="s">
        <v>9</v>
      </c>
      <c r="B129" s="8">
        <v>45413</v>
      </c>
      <c r="C129" t="s">
        <v>44</v>
      </c>
      <c r="D129">
        <v>94872</v>
      </c>
      <c r="E129">
        <v>72105</v>
      </c>
    </row>
    <row r="130" spans="1:5" x14ac:dyDescent="0.35">
      <c r="A130" t="s">
        <v>9</v>
      </c>
      <c r="B130" s="8">
        <v>45383</v>
      </c>
      <c r="C130" t="s">
        <v>44</v>
      </c>
      <c r="D130">
        <v>92409</v>
      </c>
      <c r="E130">
        <v>66899</v>
      </c>
    </row>
    <row r="131" spans="1:5" x14ac:dyDescent="0.35">
      <c r="A131" t="s">
        <v>9</v>
      </c>
      <c r="B131" s="8">
        <v>45352</v>
      </c>
      <c r="C131" t="s">
        <v>44</v>
      </c>
      <c r="D131">
        <v>98925</v>
      </c>
      <c r="E131">
        <v>71454</v>
      </c>
    </row>
    <row r="132" spans="1:5" x14ac:dyDescent="0.35">
      <c r="A132" t="s">
        <v>9</v>
      </c>
      <c r="B132" s="8">
        <v>45323</v>
      </c>
      <c r="C132" t="s">
        <v>44</v>
      </c>
      <c r="D132">
        <v>97730</v>
      </c>
      <c r="E132">
        <v>76616</v>
      </c>
    </row>
    <row r="133" spans="1:5" x14ac:dyDescent="0.35">
      <c r="A133" t="s">
        <v>9</v>
      </c>
      <c r="B133" s="8">
        <v>45292</v>
      </c>
      <c r="C133" t="s">
        <v>44</v>
      </c>
      <c r="D133">
        <v>98982</v>
      </c>
      <c r="E133">
        <v>78396</v>
      </c>
    </row>
    <row r="134" spans="1:5" x14ac:dyDescent="0.35">
      <c r="A134" t="s">
        <v>9</v>
      </c>
      <c r="B134" s="8">
        <v>45261</v>
      </c>
      <c r="C134" t="s">
        <v>44</v>
      </c>
      <c r="D134">
        <v>99746</v>
      </c>
      <c r="E134">
        <v>61014</v>
      </c>
    </row>
    <row r="135" spans="1:5" x14ac:dyDescent="0.35">
      <c r="A135" t="s">
        <v>9</v>
      </c>
      <c r="B135" s="8">
        <v>45231</v>
      </c>
      <c r="C135" t="s">
        <v>44</v>
      </c>
      <c r="D135">
        <v>88813</v>
      </c>
      <c r="E135">
        <v>74766</v>
      </c>
    </row>
    <row r="136" spans="1:5" x14ac:dyDescent="0.35">
      <c r="A136" t="s">
        <v>9</v>
      </c>
      <c r="B136" s="8">
        <v>45200</v>
      </c>
      <c r="C136" t="s">
        <v>44</v>
      </c>
      <c r="D136">
        <v>88631</v>
      </c>
      <c r="E136">
        <v>61109</v>
      </c>
    </row>
    <row r="137" spans="1:5" x14ac:dyDescent="0.35">
      <c r="A137" t="s">
        <v>9</v>
      </c>
      <c r="B137" s="8">
        <v>45170</v>
      </c>
      <c r="C137" t="s">
        <v>44</v>
      </c>
      <c r="D137">
        <v>79912</v>
      </c>
      <c r="E137">
        <v>63247</v>
      </c>
    </row>
    <row r="138" spans="1:5" x14ac:dyDescent="0.35">
      <c r="A138" t="s">
        <v>9</v>
      </c>
      <c r="B138" s="8">
        <v>45139</v>
      </c>
      <c r="C138" t="s">
        <v>44</v>
      </c>
      <c r="D138">
        <v>86426</v>
      </c>
      <c r="E138">
        <v>61012</v>
      </c>
    </row>
    <row r="139" spans="1:5" x14ac:dyDescent="0.35">
      <c r="A139" t="s">
        <v>9</v>
      </c>
      <c r="B139" s="8">
        <v>45108</v>
      </c>
      <c r="C139" t="s">
        <v>44</v>
      </c>
      <c r="D139">
        <v>82911</v>
      </c>
      <c r="E139">
        <v>61099</v>
      </c>
    </row>
    <row r="140" spans="1:5" x14ac:dyDescent="0.35">
      <c r="A140" t="s">
        <v>9</v>
      </c>
      <c r="B140" s="8">
        <v>45078</v>
      </c>
      <c r="C140" t="s">
        <v>44</v>
      </c>
      <c r="D140">
        <v>80887</v>
      </c>
      <c r="E140">
        <v>68795</v>
      </c>
    </row>
    <row r="141" spans="1:5" x14ac:dyDescent="0.35">
      <c r="A141" t="s">
        <v>9</v>
      </c>
      <c r="B141" s="8">
        <v>45047</v>
      </c>
      <c r="C141" t="s">
        <v>44</v>
      </c>
      <c r="D141">
        <v>84599</v>
      </c>
      <c r="E141">
        <v>62366</v>
      </c>
    </row>
    <row r="142" spans="1:5" x14ac:dyDescent="0.35">
      <c r="A142" t="s">
        <v>9</v>
      </c>
      <c r="B142" s="8">
        <v>45017</v>
      </c>
      <c r="C142" t="s">
        <v>44</v>
      </c>
      <c r="D142">
        <v>89269</v>
      </c>
      <c r="E142">
        <v>70227</v>
      </c>
    </row>
    <row r="143" spans="1:5" x14ac:dyDescent="0.35">
      <c r="A143" t="s">
        <v>9</v>
      </c>
      <c r="B143" s="8">
        <v>44986</v>
      </c>
      <c r="C143" t="s">
        <v>44</v>
      </c>
      <c r="D143">
        <v>100673</v>
      </c>
      <c r="E143">
        <v>64518</v>
      </c>
    </row>
    <row r="144" spans="1:5" x14ac:dyDescent="0.35">
      <c r="A144" t="s">
        <v>9</v>
      </c>
      <c r="B144" s="8">
        <v>44958</v>
      </c>
      <c r="C144" t="s">
        <v>44</v>
      </c>
      <c r="D144">
        <v>92660</v>
      </c>
      <c r="E144">
        <v>71615</v>
      </c>
    </row>
    <row r="145" spans="1:5" x14ac:dyDescent="0.35">
      <c r="A145" t="s">
        <v>9</v>
      </c>
      <c r="B145" s="8">
        <v>44927</v>
      </c>
      <c r="C145" t="s">
        <v>44</v>
      </c>
      <c r="D145">
        <v>102630</v>
      </c>
      <c r="E145">
        <v>78345</v>
      </c>
    </row>
    <row r="146" spans="1:5" x14ac:dyDescent="0.35">
      <c r="A146" t="s">
        <v>11</v>
      </c>
      <c r="B146" s="8">
        <v>45444</v>
      </c>
      <c r="C146" t="s">
        <v>45</v>
      </c>
      <c r="D146">
        <v>355098</v>
      </c>
      <c r="E146">
        <v>115995</v>
      </c>
    </row>
    <row r="147" spans="1:5" x14ac:dyDescent="0.35">
      <c r="A147" t="s">
        <v>11</v>
      </c>
      <c r="B147" s="8">
        <v>45413</v>
      </c>
      <c r="C147" t="s">
        <v>45</v>
      </c>
      <c r="D147">
        <v>359014</v>
      </c>
      <c r="E147">
        <v>133315</v>
      </c>
    </row>
    <row r="148" spans="1:5" x14ac:dyDescent="0.35">
      <c r="A148" t="s">
        <v>11</v>
      </c>
      <c r="B148" s="8">
        <v>45383</v>
      </c>
      <c r="C148" t="s">
        <v>45</v>
      </c>
      <c r="D148">
        <v>343149</v>
      </c>
      <c r="E148">
        <v>124336</v>
      </c>
    </row>
    <row r="149" spans="1:5" x14ac:dyDescent="0.35">
      <c r="A149" t="s">
        <v>11</v>
      </c>
      <c r="B149" s="8">
        <v>45352</v>
      </c>
      <c r="C149" t="s">
        <v>45</v>
      </c>
      <c r="D149">
        <v>353321</v>
      </c>
      <c r="E149">
        <v>137750</v>
      </c>
    </row>
    <row r="150" spans="1:5" x14ac:dyDescent="0.35">
      <c r="A150" t="s">
        <v>11</v>
      </c>
      <c r="B150" s="8">
        <v>45323</v>
      </c>
      <c r="C150" t="s">
        <v>45</v>
      </c>
      <c r="D150">
        <v>340311</v>
      </c>
      <c r="E150">
        <v>149700</v>
      </c>
    </row>
    <row r="151" spans="1:5" x14ac:dyDescent="0.35">
      <c r="A151" t="s">
        <v>11</v>
      </c>
      <c r="B151" s="8">
        <v>45292</v>
      </c>
      <c r="C151" t="s">
        <v>45</v>
      </c>
      <c r="D151">
        <v>354957</v>
      </c>
      <c r="E151">
        <v>155187</v>
      </c>
    </row>
    <row r="152" spans="1:5" x14ac:dyDescent="0.35">
      <c r="A152" t="s">
        <v>11</v>
      </c>
      <c r="B152" s="8">
        <v>45261</v>
      </c>
      <c r="C152" t="s">
        <v>45</v>
      </c>
      <c r="D152">
        <v>359323</v>
      </c>
      <c r="E152">
        <v>128978</v>
      </c>
    </row>
    <row r="153" spans="1:5" x14ac:dyDescent="0.35">
      <c r="A153" t="s">
        <v>11</v>
      </c>
      <c r="B153" s="8">
        <v>45231</v>
      </c>
      <c r="C153" t="s">
        <v>45</v>
      </c>
      <c r="D153">
        <v>327020</v>
      </c>
      <c r="E153">
        <v>125421</v>
      </c>
    </row>
    <row r="154" spans="1:5" x14ac:dyDescent="0.35">
      <c r="A154" t="s">
        <v>11</v>
      </c>
      <c r="B154" s="8">
        <v>45200</v>
      </c>
      <c r="C154" t="s">
        <v>45</v>
      </c>
      <c r="D154">
        <v>355400</v>
      </c>
      <c r="E154">
        <v>123942</v>
      </c>
    </row>
    <row r="155" spans="1:5" x14ac:dyDescent="0.35">
      <c r="A155" t="s">
        <v>11</v>
      </c>
      <c r="B155" s="8">
        <v>45170</v>
      </c>
      <c r="C155" t="s">
        <v>45</v>
      </c>
      <c r="D155">
        <v>366341</v>
      </c>
      <c r="E155">
        <v>124177</v>
      </c>
    </row>
    <row r="156" spans="1:5" x14ac:dyDescent="0.35">
      <c r="A156" t="s">
        <v>11</v>
      </c>
      <c r="B156" s="8">
        <v>45139</v>
      </c>
      <c r="C156" t="s">
        <v>45</v>
      </c>
      <c r="D156">
        <v>387725</v>
      </c>
      <c r="E156">
        <v>118170</v>
      </c>
    </row>
    <row r="157" spans="1:5" x14ac:dyDescent="0.35">
      <c r="A157" t="s">
        <v>11</v>
      </c>
      <c r="B157" s="8">
        <v>45108</v>
      </c>
      <c r="C157" t="s">
        <v>45</v>
      </c>
      <c r="D157">
        <v>369370</v>
      </c>
      <c r="E157">
        <v>114820</v>
      </c>
    </row>
    <row r="158" spans="1:5" x14ac:dyDescent="0.35">
      <c r="A158" t="s">
        <v>11</v>
      </c>
      <c r="B158" s="8">
        <v>45078</v>
      </c>
      <c r="C158" t="s">
        <v>45</v>
      </c>
      <c r="D158">
        <v>356994</v>
      </c>
      <c r="E158">
        <v>134270</v>
      </c>
    </row>
    <row r="159" spans="1:5" x14ac:dyDescent="0.35">
      <c r="A159" t="s">
        <v>11</v>
      </c>
      <c r="B159" s="8">
        <v>45047</v>
      </c>
      <c r="C159" t="s">
        <v>45</v>
      </c>
      <c r="D159">
        <v>344721</v>
      </c>
      <c r="E159">
        <v>120413</v>
      </c>
    </row>
    <row r="160" spans="1:5" x14ac:dyDescent="0.35">
      <c r="A160" t="s">
        <v>11</v>
      </c>
      <c r="B160" s="8">
        <v>45017</v>
      </c>
      <c r="C160" t="s">
        <v>45</v>
      </c>
      <c r="D160">
        <v>339132</v>
      </c>
      <c r="E160">
        <v>138105</v>
      </c>
    </row>
    <row r="161" spans="1:5" x14ac:dyDescent="0.35">
      <c r="A161" t="s">
        <v>11</v>
      </c>
      <c r="B161" s="8">
        <v>44986</v>
      </c>
      <c r="C161" t="s">
        <v>45</v>
      </c>
      <c r="D161">
        <v>351025</v>
      </c>
      <c r="E161">
        <v>134051</v>
      </c>
    </row>
    <row r="162" spans="1:5" x14ac:dyDescent="0.35">
      <c r="A162" t="s">
        <v>11</v>
      </c>
      <c r="B162" s="8">
        <v>44958</v>
      </c>
      <c r="C162" t="s">
        <v>45</v>
      </c>
      <c r="D162">
        <v>306497</v>
      </c>
      <c r="E162">
        <v>146548</v>
      </c>
    </row>
    <row r="163" spans="1:5" x14ac:dyDescent="0.35">
      <c r="A163" t="s">
        <v>11</v>
      </c>
      <c r="B163" s="8">
        <v>44927</v>
      </c>
      <c r="C163" t="s">
        <v>45</v>
      </c>
      <c r="D163">
        <v>358278</v>
      </c>
      <c r="E163">
        <v>156125</v>
      </c>
    </row>
    <row r="164" spans="1:5" x14ac:dyDescent="0.35">
      <c r="A164" t="s">
        <v>9</v>
      </c>
      <c r="B164" s="8">
        <v>45444</v>
      </c>
      <c r="C164" t="s">
        <v>46</v>
      </c>
      <c r="D164">
        <v>28428</v>
      </c>
      <c r="E164">
        <v>24894</v>
      </c>
    </row>
    <row r="165" spans="1:5" x14ac:dyDescent="0.35">
      <c r="A165" t="s">
        <v>9</v>
      </c>
      <c r="B165" s="8">
        <v>45413</v>
      </c>
      <c r="C165" t="s">
        <v>46</v>
      </c>
      <c r="D165">
        <v>34190</v>
      </c>
      <c r="E165">
        <v>28448</v>
      </c>
    </row>
    <row r="166" spans="1:5" x14ac:dyDescent="0.35">
      <c r="A166" t="s">
        <v>9</v>
      </c>
      <c r="B166" s="8">
        <v>45383</v>
      </c>
      <c r="C166" t="s">
        <v>46</v>
      </c>
      <c r="D166">
        <v>34535</v>
      </c>
      <c r="E166">
        <v>25531</v>
      </c>
    </row>
    <row r="167" spans="1:5" x14ac:dyDescent="0.35">
      <c r="A167" t="s">
        <v>9</v>
      </c>
      <c r="B167" s="8">
        <v>45352</v>
      </c>
      <c r="C167" t="s">
        <v>46</v>
      </c>
      <c r="D167">
        <v>34172</v>
      </c>
      <c r="E167">
        <v>26947</v>
      </c>
    </row>
    <row r="168" spans="1:5" x14ac:dyDescent="0.35">
      <c r="A168" t="s">
        <v>9</v>
      </c>
      <c r="B168" s="8">
        <v>45323</v>
      </c>
      <c r="C168" t="s">
        <v>46</v>
      </c>
      <c r="D168">
        <v>35202</v>
      </c>
      <c r="E168">
        <v>32050</v>
      </c>
    </row>
    <row r="169" spans="1:5" x14ac:dyDescent="0.35">
      <c r="A169" t="s">
        <v>9</v>
      </c>
      <c r="B169" s="8">
        <v>45292</v>
      </c>
      <c r="C169" t="s">
        <v>46</v>
      </c>
      <c r="D169">
        <v>37140</v>
      </c>
      <c r="E169">
        <v>31841</v>
      </c>
    </row>
    <row r="170" spans="1:5" x14ac:dyDescent="0.35">
      <c r="A170" t="s">
        <v>9</v>
      </c>
      <c r="B170" s="8">
        <v>45261</v>
      </c>
      <c r="C170" t="s">
        <v>46</v>
      </c>
      <c r="D170">
        <v>41647</v>
      </c>
      <c r="E170">
        <v>26508</v>
      </c>
    </row>
    <row r="171" spans="1:5" x14ac:dyDescent="0.35">
      <c r="A171" t="s">
        <v>9</v>
      </c>
      <c r="B171" s="8">
        <v>45231</v>
      </c>
      <c r="C171" t="s">
        <v>46</v>
      </c>
      <c r="D171">
        <v>37820</v>
      </c>
      <c r="E171">
        <v>28200</v>
      </c>
    </row>
    <row r="172" spans="1:5" x14ac:dyDescent="0.35">
      <c r="A172" t="s">
        <v>9</v>
      </c>
      <c r="B172" s="8">
        <v>45200</v>
      </c>
      <c r="C172" t="s">
        <v>46</v>
      </c>
      <c r="D172">
        <v>39154</v>
      </c>
      <c r="E172">
        <v>24809</v>
      </c>
    </row>
    <row r="173" spans="1:5" x14ac:dyDescent="0.35">
      <c r="A173" t="s">
        <v>9</v>
      </c>
      <c r="B173" s="8">
        <v>45170</v>
      </c>
      <c r="C173" t="s">
        <v>46</v>
      </c>
      <c r="D173">
        <v>36195</v>
      </c>
      <c r="E173">
        <v>25192</v>
      </c>
    </row>
    <row r="174" spans="1:5" x14ac:dyDescent="0.35">
      <c r="A174" t="s">
        <v>9</v>
      </c>
      <c r="B174" s="8">
        <v>45139</v>
      </c>
      <c r="C174" t="s">
        <v>46</v>
      </c>
      <c r="D174">
        <v>34167</v>
      </c>
      <c r="E174">
        <v>24953</v>
      </c>
    </row>
    <row r="175" spans="1:5" x14ac:dyDescent="0.35">
      <c r="A175" t="s">
        <v>9</v>
      </c>
      <c r="B175" s="8">
        <v>45108</v>
      </c>
      <c r="C175" t="s">
        <v>46</v>
      </c>
      <c r="D175">
        <v>36830</v>
      </c>
      <c r="E175">
        <v>23831</v>
      </c>
    </row>
    <row r="176" spans="1:5" x14ac:dyDescent="0.35">
      <c r="A176" t="s">
        <v>9</v>
      </c>
      <c r="B176" s="8">
        <v>45078</v>
      </c>
      <c r="C176" t="s">
        <v>46</v>
      </c>
      <c r="D176">
        <v>36517</v>
      </c>
      <c r="E176">
        <v>26377</v>
      </c>
    </row>
    <row r="177" spans="1:5" x14ac:dyDescent="0.35">
      <c r="A177" t="s">
        <v>9</v>
      </c>
      <c r="B177" s="8">
        <v>45047</v>
      </c>
      <c r="C177" t="s">
        <v>46</v>
      </c>
      <c r="D177">
        <v>38401</v>
      </c>
      <c r="E177">
        <v>24507</v>
      </c>
    </row>
    <row r="178" spans="1:5" x14ac:dyDescent="0.35">
      <c r="A178" t="s">
        <v>9</v>
      </c>
      <c r="B178" s="8">
        <v>45017</v>
      </c>
      <c r="C178" t="s">
        <v>46</v>
      </c>
      <c r="D178">
        <v>41424</v>
      </c>
      <c r="E178">
        <v>28467</v>
      </c>
    </row>
    <row r="179" spans="1:5" x14ac:dyDescent="0.35">
      <c r="A179" t="s">
        <v>9</v>
      </c>
      <c r="B179" s="8">
        <v>44986</v>
      </c>
      <c r="C179" t="s">
        <v>46</v>
      </c>
      <c r="D179">
        <v>45104</v>
      </c>
      <c r="E179">
        <v>27824</v>
      </c>
    </row>
    <row r="180" spans="1:5" x14ac:dyDescent="0.35">
      <c r="A180" t="s">
        <v>9</v>
      </c>
      <c r="B180" s="8">
        <v>44958</v>
      </c>
      <c r="C180" t="s">
        <v>46</v>
      </c>
      <c r="D180">
        <v>42290</v>
      </c>
      <c r="E180">
        <v>29932</v>
      </c>
    </row>
    <row r="181" spans="1:5" x14ac:dyDescent="0.35">
      <c r="A181" t="s">
        <v>9</v>
      </c>
      <c r="B181" s="8">
        <v>44927</v>
      </c>
      <c r="C181" t="s">
        <v>46</v>
      </c>
      <c r="D181">
        <v>47148</v>
      </c>
      <c r="E181">
        <v>31834</v>
      </c>
    </row>
    <row r="182" spans="1:5" x14ac:dyDescent="0.35">
      <c r="A182" t="s">
        <v>9</v>
      </c>
      <c r="B182" s="8">
        <v>45444</v>
      </c>
      <c r="C182" t="s">
        <v>47</v>
      </c>
      <c r="D182">
        <v>33104</v>
      </c>
      <c r="E182">
        <v>21407</v>
      </c>
    </row>
    <row r="183" spans="1:5" x14ac:dyDescent="0.35">
      <c r="A183" t="s">
        <v>9</v>
      </c>
      <c r="B183" s="8">
        <v>45413</v>
      </c>
      <c r="C183" t="s">
        <v>47</v>
      </c>
      <c r="D183">
        <v>34941</v>
      </c>
      <c r="E183">
        <v>26825</v>
      </c>
    </row>
    <row r="184" spans="1:5" x14ac:dyDescent="0.35">
      <c r="A184" t="s">
        <v>9</v>
      </c>
      <c r="B184" s="8">
        <v>45383</v>
      </c>
      <c r="C184" t="s">
        <v>47</v>
      </c>
      <c r="D184">
        <v>31329</v>
      </c>
      <c r="E184">
        <v>23810</v>
      </c>
    </row>
    <row r="185" spans="1:5" x14ac:dyDescent="0.35">
      <c r="A185" t="s">
        <v>9</v>
      </c>
      <c r="B185" s="8">
        <v>45352</v>
      </c>
      <c r="C185" t="s">
        <v>47</v>
      </c>
      <c r="D185">
        <v>34799</v>
      </c>
      <c r="E185">
        <v>25484</v>
      </c>
    </row>
    <row r="186" spans="1:5" x14ac:dyDescent="0.35">
      <c r="A186" t="s">
        <v>9</v>
      </c>
      <c r="B186" s="8">
        <v>45323</v>
      </c>
      <c r="C186" t="s">
        <v>47</v>
      </c>
      <c r="D186">
        <v>36174</v>
      </c>
      <c r="E186">
        <v>28343</v>
      </c>
    </row>
    <row r="187" spans="1:5" x14ac:dyDescent="0.35">
      <c r="A187" t="s">
        <v>9</v>
      </c>
      <c r="B187" s="8">
        <v>45292</v>
      </c>
      <c r="C187" t="s">
        <v>47</v>
      </c>
      <c r="D187">
        <v>34763</v>
      </c>
      <c r="E187">
        <v>29043</v>
      </c>
    </row>
    <row r="188" spans="1:5" x14ac:dyDescent="0.35">
      <c r="A188" t="s">
        <v>9</v>
      </c>
      <c r="B188" s="8">
        <v>45261</v>
      </c>
      <c r="C188" t="s">
        <v>47</v>
      </c>
      <c r="D188">
        <v>36674</v>
      </c>
      <c r="E188">
        <v>23773</v>
      </c>
    </row>
    <row r="189" spans="1:5" x14ac:dyDescent="0.35">
      <c r="A189" t="s">
        <v>9</v>
      </c>
      <c r="B189" s="8">
        <v>45231</v>
      </c>
      <c r="C189" t="s">
        <v>47</v>
      </c>
      <c r="D189">
        <v>33299</v>
      </c>
      <c r="E189">
        <v>23812</v>
      </c>
    </row>
    <row r="190" spans="1:5" x14ac:dyDescent="0.35">
      <c r="A190" t="s">
        <v>9</v>
      </c>
      <c r="B190" s="8">
        <v>45200</v>
      </c>
      <c r="C190" t="s">
        <v>47</v>
      </c>
      <c r="D190">
        <v>33772</v>
      </c>
      <c r="E190">
        <v>21926</v>
      </c>
    </row>
    <row r="191" spans="1:5" x14ac:dyDescent="0.35">
      <c r="A191" t="s">
        <v>9</v>
      </c>
      <c r="B191" s="8">
        <v>45170</v>
      </c>
      <c r="C191" t="s">
        <v>47</v>
      </c>
      <c r="D191">
        <v>30722</v>
      </c>
      <c r="E191">
        <v>21632</v>
      </c>
    </row>
    <row r="192" spans="1:5" x14ac:dyDescent="0.35">
      <c r="A192" t="s">
        <v>9</v>
      </c>
      <c r="B192" s="8">
        <v>45139</v>
      </c>
      <c r="C192" t="s">
        <v>47</v>
      </c>
      <c r="D192">
        <v>31156</v>
      </c>
      <c r="E192">
        <v>20711</v>
      </c>
    </row>
    <row r="193" spans="1:5" x14ac:dyDescent="0.35">
      <c r="A193" t="s">
        <v>9</v>
      </c>
      <c r="B193" s="8">
        <v>45108</v>
      </c>
      <c r="C193" t="s">
        <v>47</v>
      </c>
      <c r="D193">
        <v>31924</v>
      </c>
      <c r="E193">
        <v>20793</v>
      </c>
    </row>
    <row r="194" spans="1:5" x14ac:dyDescent="0.35">
      <c r="A194" t="s">
        <v>9</v>
      </c>
      <c r="B194" s="8">
        <v>45078</v>
      </c>
      <c r="C194" t="s">
        <v>47</v>
      </c>
      <c r="D194">
        <v>29683</v>
      </c>
      <c r="E194">
        <v>23022</v>
      </c>
    </row>
    <row r="195" spans="1:5" x14ac:dyDescent="0.35">
      <c r="A195" t="s">
        <v>9</v>
      </c>
      <c r="B195" s="8">
        <v>45047</v>
      </c>
      <c r="C195" t="s">
        <v>47</v>
      </c>
      <c r="D195">
        <v>30472</v>
      </c>
      <c r="E195">
        <v>21671</v>
      </c>
    </row>
    <row r="196" spans="1:5" x14ac:dyDescent="0.35">
      <c r="A196" t="s">
        <v>9</v>
      </c>
      <c r="B196" s="8">
        <v>45017</v>
      </c>
      <c r="C196" t="s">
        <v>47</v>
      </c>
      <c r="D196">
        <v>34530</v>
      </c>
      <c r="E196">
        <v>27351</v>
      </c>
    </row>
    <row r="197" spans="1:5" x14ac:dyDescent="0.35">
      <c r="A197" t="s">
        <v>9</v>
      </c>
      <c r="B197" s="8">
        <v>44986</v>
      </c>
      <c r="C197" t="s">
        <v>47</v>
      </c>
      <c r="D197">
        <v>37466</v>
      </c>
      <c r="E197">
        <v>24730</v>
      </c>
    </row>
    <row r="198" spans="1:5" x14ac:dyDescent="0.35">
      <c r="A198" t="s">
        <v>9</v>
      </c>
      <c r="B198" s="8">
        <v>44958</v>
      </c>
      <c r="C198" t="s">
        <v>47</v>
      </c>
      <c r="D198">
        <v>37969</v>
      </c>
      <c r="E198">
        <v>37239</v>
      </c>
    </row>
    <row r="199" spans="1:5" x14ac:dyDescent="0.35">
      <c r="A199" t="s">
        <v>9</v>
      </c>
      <c r="B199" s="8">
        <v>44927</v>
      </c>
      <c r="C199" t="s">
        <v>47</v>
      </c>
      <c r="D199">
        <v>38965</v>
      </c>
      <c r="E199">
        <v>26931</v>
      </c>
    </row>
    <row r="200" spans="1:5" x14ac:dyDescent="0.35">
      <c r="A200" t="s">
        <v>11</v>
      </c>
      <c r="B200" s="8">
        <v>45444</v>
      </c>
      <c r="C200" t="s">
        <v>48</v>
      </c>
      <c r="D200">
        <v>15126</v>
      </c>
      <c r="E200">
        <v>6317</v>
      </c>
    </row>
    <row r="201" spans="1:5" x14ac:dyDescent="0.35">
      <c r="A201" t="s">
        <v>11</v>
      </c>
      <c r="B201" s="8">
        <v>45413</v>
      </c>
      <c r="C201" t="s">
        <v>48</v>
      </c>
      <c r="D201">
        <v>14923</v>
      </c>
      <c r="E201">
        <v>5564</v>
      </c>
    </row>
    <row r="202" spans="1:5" x14ac:dyDescent="0.35">
      <c r="A202" t="s">
        <v>11</v>
      </c>
      <c r="B202" s="8">
        <v>45383</v>
      </c>
      <c r="C202" t="s">
        <v>48</v>
      </c>
      <c r="D202">
        <v>16159</v>
      </c>
      <c r="E202">
        <v>6036</v>
      </c>
    </row>
    <row r="203" spans="1:5" x14ac:dyDescent="0.35">
      <c r="A203" t="s">
        <v>11</v>
      </c>
      <c r="B203" s="8">
        <v>45352</v>
      </c>
      <c r="C203" t="s">
        <v>48</v>
      </c>
      <c r="D203">
        <v>17323</v>
      </c>
      <c r="E203">
        <v>7813</v>
      </c>
    </row>
    <row r="204" spans="1:5" x14ac:dyDescent="0.35">
      <c r="A204" t="s">
        <v>11</v>
      </c>
      <c r="B204" s="8">
        <v>45323</v>
      </c>
      <c r="C204" t="s">
        <v>48</v>
      </c>
      <c r="D204">
        <v>16349</v>
      </c>
      <c r="E204">
        <v>6062</v>
      </c>
    </row>
    <row r="205" spans="1:5" x14ac:dyDescent="0.35">
      <c r="A205" t="s">
        <v>11</v>
      </c>
      <c r="B205" s="8">
        <v>45292</v>
      </c>
      <c r="C205" t="s">
        <v>48</v>
      </c>
      <c r="D205">
        <v>15556</v>
      </c>
      <c r="E205">
        <v>6937</v>
      </c>
    </row>
    <row r="206" spans="1:5" x14ac:dyDescent="0.35">
      <c r="A206" t="s">
        <v>11</v>
      </c>
      <c r="B206" s="8">
        <v>45261</v>
      </c>
      <c r="C206" t="s">
        <v>48</v>
      </c>
      <c r="D206">
        <v>15770</v>
      </c>
      <c r="E206">
        <v>5955</v>
      </c>
    </row>
    <row r="207" spans="1:5" x14ac:dyDescent="0.35">
      <c r="A207" t="s">
        <v>11</v>
      </c>
      <c r="B207" s="8">
        <v>45231</v>
      </c>
      <c r="C207" t="s">
        <v>48</v>
      </c>
      <c r="D207">
        <v>15100</v>
      </c>
      <c r="E207">
        <v>6114</v>
      </c>
    </row>
    <row r="208" spans="1:5" x14ac:dyDescent="0.35">
      <c r="A208" t="s">
        <v>11</v>
      </c>
      <c r="B208" s="8">
        <v>45200</v>
      </c>
      <c r="C208" t="s">
        <v>48</v>
      </c>
      <c r="D208">
        <v>16320</v>
      </c>
      <c r="E208">
        <v>5897</v>
      </c>
    </row>
    <row r="209" spans="1:5" x14ac:dyDescent="0.35">
      <c r="A209" t="s">
        <v>11</v>
      </c>
      <c r="B209" s="8">
        <v>45170</v>
      </c>
      <c r="C209" t="s">
        <v>48</v>
      </c>
      <c r="D209">
        <v>14555</v>
      </c>
      <c r="E209">
        <v>5600</v>
      </c>
    </row>
    <row r="210" spans="1:5" x14ac:dyDescent="0.35">
      <c r="A210" t="s">
        <v>11</v>
      </c>
      <c r="B210" s="8">
        <v>45139</v>
      </c>
      <c r="C210" t="s">
        <v>48</v>
      </c>
      <c r="D210">
        <v>14696</v>
      </c>
      <c r="E210">
        <v>5019</v>
      </c>
    </row>
    <row r="211" spans="1:5" x14ac:dyDescent="0.35">
      <c r="A211" t="s">
        <v>11</v>
      </c>
      <c r="B211" s="8">
        <v>45108</v>
      </c>
      <c r="C211" t="s">
        <v>48</v>
      </c>
      <c r="D211">
        <v>15466</v>
      </c>
      <c r="E211">
        <v>5611</v>
      </c>
    </row>
    <row r="212" spans="1:5" x14ac:dyDescent="0.35">
      <c r="A212" t="s">
        <v>11</v>
      </c>
      <c r="B212" s="8">
        <v>45078</v>
      </c>
      <c r="C212" t="s">
        <v>48</v>
      </c>
      <c r="D212">
        <v>15374</v>
      </c>
      <c r="E212">
        <v>5226</v>
      </c>
    </row>
    <row r="213" spans="1:5" x14ac:dyDescent="0.35">
      <c r="A213" t="s">
        <v>11</v>
      </c>
      <c r="B213" s="8">
        <v>45047</v>
      </c>
      <c r="C213" t="s">
        <v>48</v>
      </c>
      <c r="D213">
        <v>15369</v>
      </c>
      <c r="E213">
        <v>5433</v>
      </c>
    </row>
    <row r="214" spans="1:5" x14ac:dyDescent="0.35">
      <c r="A214" t="s">
        <v>11</v>
      </c>
      <c r="B214" s="8">
        <v>45017</v>
      </c>
      <c r="C214" t="s">
        <v>48</v>
      </c>
      <c r="D214">
        <v>14788</v>
      </c>
      <c r="E214">
        <v>6187</v>
      </c>
    </row>
    <row r="215" spans="1:5" x14ac:dyDescent="0.35">
      <c r="A215" t="s">
        <v>11</v>
      </c>
      <c r="B215" s="8">
        <v>44986</v>
      </c>
      <c r="C215" t="s">
        <v>48</v>
      </c>
      <c r="D215">
        <v>14509</v>
      </c>
      <c r="E215">
        <v>5789</v>
      </c>
    </row>
    <row r="216" spans="1:5" x14ac:dyDescent="0.35">
      <c r="A216" t="s">
        <v>11</v>
      </c>
      <c r="B216" s="8">
        <v>44958</v>
      </c>
      <c r="C216" t="s">
        <v>48</v>
      </c>
      <c r="D216">
        <v>12957</v>
      </c>
      <c r="E216">
        <v>6124</v>
      </c>
    </row>
    <row r="217" spans="1:5" x14ac:dyDescent="0.35">
      <c r="A217" t="s">
        <v>11</v>
      </c>
      <c r="B217" s="8">
        <v>44927</v>
      </c>
      <c r="C217" t="s">
        <v>48</v>
      </c>
      <c r="D217">
        <v>14326</v>
      </c>
      <c r="E217">
        <v>7197</v>
      </c>
    </row>
    <row r="218" spans="1:5" x14ac:dyDescent="0.35">
      <c r="A218" t="s">
        <v>11</v>
      </c>
      <c r="B218" s="8">
        <v>45444</v>
      </c>
      <c r="C218" t="s">
        <v>49</v>
      </c>
      <c r="D218">
        <v>34831</v>
      </c>
      <c r="E218">
        <v>18833</v>
      </c>
    </row>
    <row r="219" spans="1:5" x14ac:dyDescent="0.35">
      <c r="A219" t="s">
        <v>11</v>
      </c>
      <c r="B219" s="8">
        <v>45413</v>
      </c>
      <c r="C219" t="s">
        <v>49</v>
      </c>
      <c r="D219">
        <v>37948</v>
      </c>
      <c r="E219">
        <v>21522</v>
      </c>
    </row>
    <row r="220" spans="1:5" x14ac:dyDescent="0.35">
      <c r="A220" t="s">
        <v>11</v>
      </c>
      <c r="B220" s="8">
        <v>45383</v>
      </c>
      <c r="C220" t="s">
        <v>49</v>
      </c>
      <c r="D220">
        <v>36401</v>
      </c>
      <c r="E220">
        <v>19357</v>
      </c>
    </row>
    <row r="221" spans="1:5" x14ac:dyDescent="0.35">
      <c r="A221" t="s">
        <v>11</v>
      </c>
      <c r="B221" s="8">
        <v>45352</v>
      </c>
      <c r="C221" t="s">
        <v>49</v>
      </c>
      <c r="D221">
        <v>37918</v>
      </c>
      <c r="E221">
        <v>21817</v>
      </c>
    </row>
    <row r="222" spans="1:5" x14ac:dyDescent="0.35">
      <c r="A222" t="s">
        <v>11</v>
      </c>
      <c r="B222" s="8">
        <v>45323</v>
      </c>
      <c r="C222" t="s">
        <v>49</v>
      </c>
      <c r="D222">
        <v>36376</v>
      </c>
      <c r="E222">
        <v>24251</v>
      </c>
    </row>
    <row r="223" spans="1:5" x14ac:dyDescent="0.35">
      <c r="A223" t="s">
        <v>11</v>
      </c>
      <c r="B223" s="8">
        <v>45292</v>
      </c>
      <c r="C223" t="s">
        <v>49</v>
      </c>
      <c r="D223">
        <v>37786</v>
      </c>
      <c r="E223">
        <v>22672</v>
      </c>
    </row>
    <row r="224" spans="1:5" x14ac:dyDescent="0.35">
      <c r="A224" t="s">
        <v>11</v>
      </c>
      <c r="B224" s="8">
        <v>45261</v>
      </c>
      <c r="C224" t="s">
        <v>49</v>
      </c>
      <c r="D224">
        <v>37160</v>
      </c>
      <c r="E224">
        <v>21133</v>
      </c>
    </row>
    <row r="225" spans="1:5" x14ac:dyDescent="0.35">
      <c r="A225" t="s">
        <v>11</v>
      </c>
      <c r="B225" s="8">
        <v>45231</v>
      </c>
      <c r="C225" t="s">
        <v>49</v>
      </c>
      <c r="D225">
        <v>34763</v>
      </c>
      <c r="E225">
        <v>19987</v>
      </c>
    </row>
    <row r="226" spans="1:5" x14ac:dyDescent="0.35">
      <c r="A226" t="s">
        <v>11</v>
      </c>
      <c r="B226" s="8">
        <v>45200</v>
      </c>
      <c r="C226" t="s">
        <v>49</v>
      </c>
      <c r="D226">
        <v>33386</v>
      </c>
      <c r="E226">
        <v>19262</v>
      </c>
    </row>
    <row r="227" spans="1:5" x14ac:dyDescent="0.35">
      <c r="A227" t="s">
        <v>11</v>
      </c>
      <c r="B227" s="8">
        <v>45170</v>
      </c>
      <c r="C227" t="s">
        <v>49</v>
      </c>
      <c r="D227">
        <v>30804</v>
      </c>
      <c r="E227">
        <v>19955</v>
      </c>
    </row>
    <row r="228" spans="1:5" x14ac:dyDescent="0.35">
      <c r="A228" t="s">
        <v>11</v>
      </c>
      <c r="B228" s="8">
        <v>45139</v>
      </c>
      <c r="C228" t="s">
        <v>49</v>
      </c>
      <c r="D228">
        <v>31930</v>
      </c>
      <c r="E228">
        <v>17945</v>
      </c>
    </row>
    <row r="229" spans="1:5" x14ac:dyDescent="0.35">
      <c r="A229" t="s">
        <v>11</v>
      </c>
      <c r="B229" s="8">
        <v>45108</v>
      </c>
      <c r="C229" t="s">
        <v>49</v>
      </c>
      <c r="D229">
        <v>30776</v>
      </c>
      <c r="E229">
        <v>17972</v>
      </c>
    </row>
    <row r="230" spans="1:5" x14ac:dyDescent="0.35">
      <c r="A230" t="s">
        <v>11</v>
      </c>
      <c r="B230" s="8">
        <v>45078</v>
      </c>
      <c r="C230" t="s">
        <v>49</v>
      </c>
      <c r="D230">
        <v>32053</v>
      </c>
      <c r="E230">
        <v>20049</v>
      </c>
    </row>
    <row r="231" spans="1:5" x14ac:dyDescent="0.35">
      <c r="A231" t="s">
        <v>11</v>
      </c>
      <c r="B231" s="8">
        <v>45047</v>
      </c>
      <c r="C231" t="s">
        <v>49</v>
      </c>
      <c r="D231">
        <v>32851</v>
      </c>
      <c r="E231">
        <v>18323</v>
      </c>
    </row>
    <row r="232" spans="1:5" x14ac:dyDescent="0.35">
      <c r="A232" t="s">
        <v>11</v>
      </c>
      <c r="B232" s="8">
        <v>45017</v>
      </c>
      <c r="C232" t="s">
        <v>49</v>
      </c>
      <c r="D232">
        <v>33369</v>
      </c>
      <c r="E232">
        <v>20890</v>
      </c>
    </row>
    <row r="233" spans="1:5" x14ac:dyDescent="0.35">
      <c r="A233" t="s">
        <v>11</v>
      </c>
      <c r="B233" s="8">
        <v>44986</v>
      </c>
      <c r="C233" t="s">
        <v>49</v>
      </c>
      <c r="D233">
        <v>34326</v>
      </c>
      <c r="E233">
        <v>20379</v>
      </c>
    </row>
    <row r="234" spans="1:5" x14ac:dyDescent="0.35">
      <c r="A234" t="s">
        <v>11</v>
      </c>
      <c r="B234" s="8">
        <v>44958</v>
      </c>
      <c r="C234" t="s">
        <v>49</v>
      </c>
      <c r="D234">
        <v>31828</v>
      </c>
      <c r="E234">
        <v>22886</v>
      </c>
    </row>
    <row r="235" spans="1:5" x14ac:dyDescent="0.35">
      <c r="A235" t="s">
        <v>11</v>
      </c>
      <c r="B235" s="8">
        <v>44927</v>
      </c>
      <c r="C235" t="s">
        <v>49</v>
      </c>
      <c r="D235">
        <v>35644</v>
      </c>
      <c r="E235">
        <v>23883</v>
      </c>
    </row>
    <row r="236" spans="1:5" x14ac:dyDescent="0.35">
      <c r="A236" t="s">
        <v>9</v>
      </c>
      <c r="B236" s="8">
        <v>45444</v>
      </c>
      <c r="C236" t="s">
        <v>50</v>
      </c>
      <c r="D236">
        <v>27171</v>
      </c>
      <c r="E236">
        <v>13871</v>
      </c>
    </row>
    <row r="237" spans="1:5" x14ac:dyDescent="0.35">
      <c r="A237" t="s">
        <v>9</v>
      </c>
      <c r="B237" s="8">
        <v>45413</v>
      </c>
      <c r="C237" t="s">
        <v>50</v>
      </c>
      <c r="D237">
        <v>27079</v>
      </c>
      <c r="E237">
        <v>16121</v>
      </c>
    </row>
    <row r="238" spans="1:5" x14ac:dyDescent="0.35">
      <c r="A238" t="s">
        <v>9</v>
      </c>
      <c r="B238" s="8">
        <v>45383</v>
      </c>
      <c r="C238" t="s">
        <v>50</v>
      </c>
      <c r="D238">
        <v>25475</v>
      </c>
      <c r="E238">
        <v>15191</v>
      </c>
    </row>
    <row r="239" spans="1:5" x14ac:dyDescent="0.35">
      <c r="A239" t="s">
        <v>9</v>
      </c>
      <c r="B239" s="8">
        <v>45352</v>
      </c>
      <c r="C239" t="s">
        <v>50</v>
      </c>
      <c r="D239">
        <v>25779</v>
      </c>
      <c r="E239">
        <v>16989</v>
      </c>
    </row>
    <row r="240" spans="1:5" x14ac:dyDescent="0.35">
      <c r="A240" t="s">
        <v>9</v>
      </c>
      <c r="B240" s="8">
        <v>45323</v>
      </c>
      <c r="C240" t="s">
        <v>50</v>
      </c>
      <c r="D240">
        <v>25976</v>
      </c>
      <c r="E240">
        <v>15445</v>
      </c>
    </row>
    <row r="241" spans="1:5" x14ac:dyDescent="0.35">
      <c r="A241" t="s">
        <v>9</v>
      </c>
      <c r="B241" s="8">
        <v>45292</v>
      </c>
      <c r="C241" t="s">
        <v>50</v>
      </c>
      <c r="D241">
        <v>26581</v>
      </c>
      <c r="E241">
        <v>17479</v>
      </c>
    </row>
    <row r="242" spans="1:5" x14ac:dyDescent="0.35">
      <c r="A242" t="s">
        <v>9</v>
      </c>
      <c r="B242" s="8">
        <v>45261</v>
      </c>
      <c r="C242" t="s">
        <v>50</v>
      </c>
      <c r="D242">
        <v>25578</v>
      </c>
      <c r="E242">
        <v>14654</v>
      </c>
    </row>
    <row r="243" spans="1:5" x14ac:dyDescent="0.35">
      <c r="A243" t="s">
        <v>9</v>
      </c>
      <c r="B243" s="8">
        <v>45231</v>
      </c>
      <c r="C243" t="s">
        <v>50</v>
      </c>
      <c r="D243">
        <v>23157</v>
      </c>
      <c r="E243">
        <v>14812</v>
      </c>
    </row>
    <row r="244" spans="1:5" x14ac:dyDescent="0.35">
      <c r="A244" t="s">
        <v>9</v>
      </c>
      <c r="B244" s="8">
        <v>45200</v>
      </c>
      <c r="C244" t="s">
        <v>50</v>
      </c>
      <c r="D244">
        <v>23240</v>
      </c>
      <c r="E244">
        <v>13041</v>
      </c>
    </row>
    <row r="245" spans="1:5" x14ac:dyDescent="0.35">
      <c r="A245" t="s">
        <v>9</v>
      </c>
      <c r="B245" s="8">
        <v>45170</v>
      </c>
      <c r="C245" t="s">
        <v>50</v>
      </c>
      <c r="D245">
        <v>21587</v>
      </c>
      <c r="E245">
        <v>15109</v>
      </c>
    </row>
    <row r="246" spans="1:5" x14ac:dyDescent="0.35">
      <c r="A246" t="s">
        <v>9</v>
      </c>
      <c r="B246" s="8">
        <v>45139</v>
      </c>
      <c r="C246" t="s">
        <v>50</v>
      </c>
      <c r="D246">
        <v>22654</v>
      </c>
      <c r="E246">
        <v>13042</v>
      </c>
    </row>
    <row r="247" spans="1:5" x14ac:dyDescent="0.35">
      <c r="A247" t="s">
        <v>9</v>
      </c>
      <c r="B247" s="8">
        <v>45108</v>
      </c>
      <c r="C247" t="s">
        <v>50</v>
      </c>
      <c r="D247">
        <v>21679</v>
      </c>
      <c r="E247">
        <v>13809</v>
      </c>
    </row>
    <row r="248" spans="1:5" x14ac:dyDescent="0.35">
      <c r="A248" t="s">
        <v>9</v>
      </c>
      <c r="B248" s="8">
        <v>45078</v>
      </c>
      <c r="C248" t="s">
        <v>50</v>
      </c>
      <c r="D248">
        <v>26472</v>
      </c>
      <c r="E248">
        <v>14212</v>
      </c>
    </row>
    <row r="249" spans="1:5" x14ac:dyDescent="0.35">
      <c r="A249" t="s">
        <v>9</v>
      </c>
      <c r="B249" s="8">
        <v>45047</v>
      </c>
      <c r="C249" t="s">
        <v>50</v>
      </c>
      <c r="D249">
        <v>23889</v>
      </c>
      <c r="E249">
        <v>13300</v>
      </c>
    </row>
    <row r="250" spans="1:5" x14ac:dyDescent="0.35">
      <c r="A250" t="s">
        <v>9</v>
      </c>
      <c r="B250" s="8">
        <v>45017</v>
      </c>
      <c r="C250" t="s">
        <v>50</v>
      </c>
      <c r="D250">
        <v>24489</v>
      </c>
      <c r="E250">
        <v>16643</v>
      </c>
    </row>
    <row r="251" spans="1:5" x14ac:dyDescent="0.35">
      <c r="A251" t="s">
        <v>9</v>
      </c>
      <c r="B251" s="8">
        <v>44986</v>
      </c>
      <c r="C251" t="s">
        <v>50</v>
      </c>
      <c r="D251">
        <v>25533</v>
      </c>
      <c r="E251">
        <v>14057</v>
      </c>
    </row>
    <row r="252" spans="1:5" x14ac:dyDescent="0.35">
      <c r="A252" t="s">
        <v>9</v>
      </c>
      <c r="B252" s="8">
        <v>44958</v>
      </c>
      <c r="C252" t="s">
        <v>50</v>
      </c>
      <c r="D252">
        <v>23659</v>
      </c>
      <c r="E252">
        <v>16763</v>
      </c>
    </row>
    <row r="253" spans="1:5" x14ac:dyDescent="0.35">
      <c r="A253" t="s">
        <v>9</v>
      </c>
      <c r="B253" s="8">
        <v>44927</v>
      </c>
      <c r="C253" t="s">
        <v>50</v>
      </c>
      <c r="D253">
        <v>28793</v>
      </c>
      <c r="E253">
        <v>18114</v>
      </c>
    </row>
    <row r="254" spans="1:5" x14ac:dyDescent="0.35">
      <c r="A254" t="s">
        <v>11</v>
      </c>
      <c r="B254" s="8">
        <v>45444</v>
      </c>
      <c r="C254" t="s">
        <v>51</v>
      </c>
      <c r="D254">
        <v>235612</v>
      </c>
      <c r="E254">
        <v>83545</v>
      </c>
    </row>
    <row r="255" spans="1:5" x14ac:dyDescent="0.35">
      <c r="A255" t="s">
        <v>11</v>
      </c>
      <c r="B255" s="8">
        <v>45413</v>
      </c>
      <c r="C255" t="s">
        <v>51</v>
      </c>
      <c r="D255">
        <v>237885</v>
      </c>
      <c r="E255">
        <v>93179</v>
      </c>
    </row>
    <row r="256" spans="1:5" x14ac:dyDescent="0.35">
      <c r="A256" t="s">
        <v>11</v>
      </c>
      <c r="B256" s="8">
        <v>45383</v>
      </c>
      <c r="C256" t="s">
        <v>51</v>
      </c>
      <c r="D256">
        <v>228841</v>
      </c>
      <c r="E256">
        <v>86883</v>
      </c>
    </row>
    <row r="257" spans="1:5" x14ac:dyDescent="0.35">
      <c r="A257" t="s">
        <v>11</v>
      </c>
      <c r="B257" s="8">
        <v>45352</v>
      </c>
      <c r="C257" t="s">
        <v>51</v>
      </c>
      <c r="D257">
        <v>237306</v>
      </c>
      <c r="E257">
        <v>93232</v>
      </c>
    </row>
    <row r="258" spans="1:5" x14ac:dyDescent="0.35">
      <c r="A258" t="s">
        <v>11</v>
      </c>
      <c r="B258" s="8">
        <v>45323</v>
      </c>
      <c r="C258" t="s">
        <v>51</v>
      </c>
      <c r="D258">
        <v>216261</v>
      </c>
      <c r="E258">
        <v>106261</v>
      </c>
    </row>
    <row r="259" spans="1:5" x14ac:dyDescent="0.35">
      <c r="A259" t="s">
        <v>11</v>
      </c>
      <c r="B259" s="8">
        <v>45292</v>
      </c>
      <c r="C259" t="s">
        <v>51</v>
      </c>
      <c r="D259">
        <v>226523</v>
      </c>
      <c r="E259">
        <v>105146</v>
      </c>
    </row>
    <row r="260" spans="1:5" x14ac:dyDescent="0.35">
      <c r="A260" t="s">
        <v>11</v>
      </c>
      <c r="B260" s="8">
        <v>45261</v>
      </c>
      <c r="C260" t="s">
        <v>51</v>
      </c>
      <c r="D260">
        <v>235954</v>
      </c>
      <c r="E260">
        <v>89695</v>
      </c>
    </row>
    <row r="261" spans="1:5" x14ac:dyDescent="0.35">
      <c r="A261" t="s">
        <v>11</v>
      </c>
      <c r="B261" s="8">
        <v>45231</v>
      </c>
      <c r="C261" t="s">
        <v>51</v>
      </c>
      <c r="D261">
        <v>233237</v>
      </c>
      <c r="E261">
        <v>92167</v>
      </c>
    </row>
    <row r="262" spans="1:5" x14ac:dyDescent="0.35">
      <c r="A262" t="s">
        <v>11</v>
      </c>
      <c r="B262" s="8">
        <v>45200</v>
      </c>
      <c r="C262" t="s">
        <v>51</v>
      </c>
      <c r="D262">
        <v>230373</v>
      </c>
      <c r="E262">
        <v>84913</v>
      </c>
    </row>
    <row r="263" spans="1:5" x14ac:dyDescent="0.35">
      <c r="A263" t="s">
        <v>11</v>
      </c>
      <c r="B263" s="8">
        <v>45170</v>
      </c>
      <c r="C263" t="s">
        <v>51</v>
      </c>
      <c r="D263">
        <v>220771</v>
      </c>
      <c r="E263">
        <v>87186</v>
      </c>
    </row>
    <row r="264" spans="1:5" x14ac:dyDescent="0.35">
      <c r="A264" t="s">
        <v>11</v>
      </c>
      <c r="B264" s="8">
        <v>45139</v>
      </c>
      <c r="C264" t="s">
        <v>51</v>
      </c>
      <c r="D264">
        <v>227726</v>
      </c>
      <c r="E264">
        <v>81488</v>
      </c>
    </row>
    <row r="265" spans="1:5" x14ac:dyDescent="0.35">
      <c r="A265" t="s">
        <v>11</v>
      </c>
      <c r="B265" s="8">
        <v>45108</v>
      </c>
      <c r="C265" t="s">
        <v>51</v>
      </c>
      <c r="D265">
        <v>225542</v>
      </c>
      <c r="E265">
        <v>83448</v>
      </c>
    </row>
    <row r="266" spans="1:5" x14ac:dyDescent="0.35">
      <c r="A266" t="s">
        <v>11</v>
      </c>
      <c r="B266" s="8">
        <v>45078</v>
      </c>
      <c r="C266" t="s">
        <v>51</v>
      </c>
      <c r="D266">
        <v>218190</v>
      </c>
      <c r="E266">
        <v>89735</v>
      </c>
    </row>
    <row r="267" spans="1:5" x14ac:dyDescent="0.35">
      <c r="A267" t="s">
        <v>11</v>
      </c>
      <c r="B267" s="8">
        <v>45047</v>
      </c>
      <c r="C267" t="s">
        <v>51</v>
      </c>
      <c r="D267">
        <v>228851</v>
      </c>
      <c r="E267">
        <v>83784</v>
      </c>
    </row>
    <row r="268" spans="1:5" x14ac:dyDescent="0.35">
      <c r="A268" t="s">
        <v>11</v>
      </c>
      <c r="B268" s="8">
        <v>45017</v>
      </c>
      <c r="C268" t="s">
        <v>51</v>
      </c>
      <c r="D268">
        <v>224542</v>
      </c>
      <c r="E268">
        <v>94516</v>
      </c>
    </row>
    <row r="269" spans="1:5" x14ac:dyDescent="0.35">
      <c r="A269" t="s">
        <v>11</v>
      </c>
      <c r="B269" s="8">
        <v>44986</v>
      </c>
      <c r="C269" t="s">
        <v>51</v>
      </c>
      <c r="D269">
        <v>229610</v>
      </c>
      <c r="E269">
        <v>95285</v>
      </c>
    </row>
    <row r="270" spans="1:5" x14ac:dyDescent="0.35">
      <c r="A270" t="s">
        <v>11</v>
      </c>
      <c r="B270" s="8">
        <v>44958</v>
      </c>
      <c r="C270" t="s">
        <v>51</v>
      </c>
      <c r="D270">
        <v>210156</v>
      </c>
      <c r="E270">
        <v>103052</v>
      </c>
    </row>
    <row r="271" spans="1:5" x14ac:dyDescent="0.35">
      <c r="A271" t="s">
        <v>11</v>
      </c>
      <c r="B271" s="8">
        <v>44927</v>
      </c>
      <c r="C271" t="s">
        <v>51</v>
      </c>
      <c r="D271">
        <v>237065</v>
      </c>
      <c r="E271">
        <v>103783</v>
      </c>
    </row>
    <row r="272" spans="1:5" x14ac:dyDescent="0.35">
      <c r="A272" t="s">
        <v>9</v>
      </c>
      <c r="B272" s="8">
        <v>45444</v>
      </c>
      <c r="C272" t="s">
        <v>52</v>
      </c>
      <c r="D272">
        <v>182814</v>
      </c>
      <c r="E272">
        <v>104829</v>
      </c>
    </row>
    <row r="273" spans="1:5" x14ac:dyDescent="0.35">
      <c r="A273" t="s">
        <v>9</v>
      </c>
      <c r="B273" s="8">
        <v>45413</v>
      </c>
      <c r="C273" t="s">
        <v>52</v>
      </c>
      <c r="D273">
        <v>176827</v>
      </c>
      <c r="E273">
        <v>124950</v>
      </c>
    </row>
    <row r="274" spans="1:5" x14ac:dyDescent="0.35">
      <c r="A274" t="s">
        <v>9</v>
      </c>
      <c r="B274" s="8">
        <v>45383</v>
      </c>
      <c r="C274" t="s">
        <v>52</v>
      </c>
      <c r="D274">
        <v>170086</v>
      </c>
      <c r="E274">
        <v>106239</v>
      </c>
    </row>
    <row r="275" spans="1:5" x14ac:dyDescent="0.35">
      <c r="A275" t="s">
        <v>9</v>
      </c>
      <c r="B275" s="8">
        <v>45352</v>
      </c>
      <c r="C275" t="s">
        <v>52</v>
      </c>
      <c r="D275">
        <v>179526</v>
      </c>
      <c r="E275">
        <v>121862</v>
      </c>
    </row>
    <row r="276" spans="1:5" x14ac:dyDescent="0.35">
      <c r="A276" t="s">
        <v>9</v>
      </c>
      <c r="B276" s="8">
        <v>45323</v>
      </c>
      <c r="C276" t="s">
        <v>52</v>
      </c>
      <c r="D276">
        <v>178031</v>
      </c>
      <c r="E276">
        <v>136470</v>
      </c>
    </row>
    <row r="277" spans="1:5" x14ac:dyDescent="0.35">
      <c r="A277" t="s">
        <v>9</v>
      </c>
      <c r="B277" s="8">
        <v>45292</v>
      </c>
      <c r="C277" t="s">
        <v>52</v>
      </c>
      <c r="D277">
        <v>179433</v>
      </c>
      <c r="E277">
        <v>134517</v>
      </c>
    </row>
    <row r="278" spans="1:5" x14ac:dyDescent="0.35">
      <c r="A278" t="s">
        <v>9</v>
      </c>
      <c r="B278" s="8">
        <v>45261</v>
      </c>
      <c r="C278" t="s">
        <v>52</v>
      </c>
      <c r="D278">
        <v>185704</v>
      </c>
      <c r="E278">
        <v>118317</v>
      </c>
    </row>
    <row r="279" spans="1:5" x14ac:dyDescent="0.35">
      <c r="A279" t="s">
        <v>9</v>
      </c>
      <c r="B279" s="8">
        <v>45231</v>
      </c>
      <c r="C279" t="s">
        <v>52</v>
      </c>
      <c r="D279">
        <v>164152</v>
      </c>
      <c r="E279">
        <v>121742</v>
      </c>
    </row>
    <row r="280" spans="1:5" x14ac:dyDescent="0.35">
      <c r="A280" t="s">
        <v>9</v>
      </c>
      <c r="B280" s="8">
        <v>45200</v>
      </c>
      <c r="C280" t="s">
        <v>52</v>
      </c>
      <c r="D280">
        <v>163453</v>
      </c>
      <c r="E280">
        <v>106688</v>
      </c>
    </row>
    <row r="281" spans="1:5" x14ac:dyDescent="0.35">
      <c r="A281" t="s">
        <v>9</v>
      </c>
      <c r="B281" s="8">
        <v>45170</v>
      </c>
      <c r="C281" t="s">
        <v>52</v>
      </c>
      <c r="D281">
        <v>161328</v>
      </c>
      <c r="E281">
        <v>110521</v>
      </c>
    </row>
    <row r="282" spans="1:5" x14ac:dyDescent="0.35">
      <c r="A282" t="s">
        <v>9</v>
      </c>
      <c r="B282" s="8">
        <v>45139</v>
      </c>
      <c r="C282" t="s">
        <v>52</v>
      </c>
      <c r="D282">
        <v>165165</v>
      </c>
      <c r="E282">
        <v>108740</v>
      </c>
    </row>
    <row r="283" spans="1:5" x14ac:dyDescent="0.35">
      <c r="A283" t="s">
        <v>9</v>
      </c>
      <c r="B283" s="8">
        <v>45108</v>
      </c>
      <c r="C283" t="s">
        <v>26</v>
      </c>
      <c r="D283">
        <v>162898</v>
      </c>
      <c r="E283">
        <v>102950</v>
      </c>
    </row>
    <row r="284" spans="1:5" x14ac:dyDescent="0.35">
      <c r="A284" t="s">
        <v>9</v>
      </c>
      <c r="B284" s="8">
        <v>45078</v>
      </c>
      <c r="C284" t="s">
        <v>26</v>
      </c>
      <c r="D284">
        <v>149398</v>
      </c>
      <c r="E284">
        <v>115393</v>
      </c>
    </row>
    <row r="285" spans="1:5" x14ac:dyDescent="0.35">
      <c r="A285" t="s">
        <v>9</v>
      </c>
      <c r="B285" s="8">
        <v>45047</v>
      </c>
      <c r="C285" t="s">
        <v>26</v>
      </c>
      <c r="D285">
        <v>162324</v>
      </c>
      <c r="E285">
        <v>101363</v>
      </c>
    </row>
    <row r="286" spans="1:5" x14ac:dyDescent="0.35">
      <c r="A286" t="s">
        <v>9</v>
      </c>
      <c r="B286" s="8">
        <v>45017</v>
      </c>
      <c r="C286" t="s">
        <v>26</v>
      </c>
      <c r="D286">
        <v>164054</v>
      </c>
      <c r="E286">
        <v>132299</v>
      </c>
    </row>
    <row r="287" spans="1:5" x14ac:dyDescent="0.35">
      <c r="A287" t="s">
        <v>9</v>
      </c>
      <c r="B287" s="8">
        <v>44986</v>
      </c>
      <c r="C287" t="s">
        <v>26</v>
      </c>
      <c r="D287">
        <v>181720</v>
      </c>
      <c r="E287">
        <v>118631</v>
      </c>
    </row>
    <row r="288" spans="1:5" x14ac:dyDescent="0.35">
      <c r="A288" t="s">
        <v>9</v>
      </c>
      <c r="B288" s="8">
        <v>44958</v>
      </c>
      <c r="C288" t="s">
        <v>26</v>
      </c>
      <c r="D288">
        <v>164260</v>
      </c>
      <c r="E288">
        <v>135393</v>
      </c>
    </row>
    <row r="289" spans="1:5" x14ac:dyDescent="0.35">
      <c r="A289" t="s">
        <v>9</v>
      </c>
      <c r="B289" s="8">
        <v>44927</v>
      </c>
      <c r="C289" t="s">
        <v>26</v>
      </c>
      <c r="D289">
        <v>191764</v>
      </c>
      <c r="E289">
        <v>138957</v>
      </c>
    </row>
    <row r="290" spans="1:5" x14ac:dyDescent="0.35">
      <c r="A290" t="s">
        <v>9</v>
      </c>
      <c r="B290" s="8">
        <v>45444</v>
      </c>
      <c r="C290" t="s">
        <v>53</v>
      </c>
      <c r="D290">
        <v>3401</v>
      </c>
      <c r="E290">
        <v>2651</v>
      </c>
    </row>
    <row r="291" spans="1:5" x14ac:dyDescent="0.35">
      <c r="A291" t="s">
        <v>9</v>
      </c>
      <c r="B291" s="8">
        <v>45413</v>
      </c>
      <c r="C291" t="s">
        <v>53</v>
      </c>
      <c r="D291">
        <v>3383</v>
      </c>
      <c r="E291">
        <v>2931</v>
      </c>
    </row>
    <row r="292" spans="1:5" x14ac:dyDescent="0.35">
      <c r="A292" t="s">
        <v>9</v>
      </c>
      <c r="B292" s="8">
        <v>45383</v>
      </c>
      <c r="C292" t="s">
        <v>53</v>
      </c>
      <c r="D292">
        <v>3461</v>
      </c>
      <c r="E292">
        <v>3253</v>
      </c>
    </row>
    <row r="293" spans="1:5" x14ac:dyDescent="0.35">
      <c r="A293" t="s">
        <v>9</v>
      </c>
      <c r="B293" s="8">
        <v>45352</v>
      </c>
      <c r="C293" t="s">
        <v>53</v>
      </c>
      <c r="D293">
        <v>5693</v>
      </c>
      <c r="E293">
        <v>3087</v>
      </c>
    </row>
    <row r="294" spans="1:5" x14ac:dyDescent="0.35">
      <c r="A294" t="s">
        <v>9</v>
      </c>
      <c r="B294" s="8">
        <v>45323</v>
      </c>
      <c r="C294" t="s">
        <v>53</v>
      </c>
      <c r="D294">
        <v>5464</v>
      </c>
      <c r="E294">
        <v>2978</v>
      </c>
    </row>
    <row r="295" spans="1:5" x14ac:dyDescent="0.35">
      <c r="A295" t="s">
        <v>9</v>
      </c>
      <c r="B295" s="8">
        <v>45292</v>
      </c>
      <c r="C295" t="s">
        <v>53</v>
      </c>
      <c r="D295">
        <v>5165</v>
      </c>
      <c r="E295">
        <v>2941</v>
      </c>
    </row>
    <row r="296" spans="1:5" x14ac:dyDescent="0.35">
      <c r="A296" t="s">
        <v>9</v>
      </c>
      <c r="B296" s="8">
        <v>45261</v>
      </c>
      <c r="C296" t="s">
        <v>53</v>
      </c>
      <c r="D296">
        <v>5065</v>
      </c>
      <c r="E296">
        <v>2606</v>
      </c>
    </row>
    <row r="297" spans="1:5" x14ac:dyDescent="0.35">
      <c r="A297" t="s">
        <v>9</v>
      </c>
      <c r="B297" s="8">
        <v>45231</v>
      </c>
      <c r="C297" t="s">
        <v>53</v>
      </c>
      <c r="D297">
        <v>4472</v>
      </c>
      <c r="E297">
        <v>2606</v>
      </c>
    </row>
    <row r="298" spans="1:5" x14ac:dyDescent="0.35">
      <c r="A298" t="s">
        <v>9</v>
      </c>
      <c r="B298" s="8">
        <v>45200</v>
      </c>
      <c r="C298" t="s">
        <v>53</v>
      </c>
      <c r="D298">
        <v>4238</v>
      </c>
      <c r="E298">
        <v>2244</v>
      </c>
    </row>
    <row r="299" spans="1:5" x14ac:dyDescent="0.35">
      <c r="A299" t="s">
        <v>9</v>
      </c>
      <c r="B299" s="8">
        <v>45170</v>
      </c>
      <c r="C299" t="s">
        <v>53</v>
      </c>
      <c r="D299">
        <v>4017</v>
      </c>
      <c r="E299">
        <v>2471</v>
      </c>
    </row>
    <row r="300" spans="1:5" x14ac:dyDescent="0.35">
      <c r="A300" t="s">
        <v>9</v>
      </c>
      <c r="B300" s="8">
        <v>45139</v>
      </c>
      <c r="C300" t="s">
        <v>53</v>
      </c>
      <c r="D300">
        <v>3900</v>
      </c>
      <c r="E300">
        <v>2281</v>
      </c>
    </row>
    <row r="301" spans="1:5" x14ac:dyDescent="0.35">
      <c r="A301" t="s">
        <v>9</v>
      </c>
      <c r="B301" s="8">
        <v>45108</v>
      </c>
      <c r="C301" t="s">
        <v>27</v>
      </c>
      <c r="D301">
        <v>3718</v>
      </c>
      <c r="E301">
        <v>2498</v>
      </c>
    </row>
    <row r="302" spans="1:5" x14ac:dyDescent="0.35">
      <c r="A302" t="s">
        <v>9</v>
      </c>
      <c r="B302" s="8">
        <v>45078</v>
      </c>
      <c r="C302" t="s">
        <v>27</v>
      </c>
      <c r="D302">
        <v>3603</v>
      </c>
      <c r="E302">
        <v>2541</v>
      </c>
    </row>
    <row r="303" spans="1:5" x14ac:dyDescent="0.35">
      <c r="A303" t="s">
        <v>9</v>
      </c>
      <c r="B303" s="8">
        <v>45047</v>
      </c>
      <c r="C303" t="s">
        <v>27</v>
      </c>
      <c r="D303">
        <v>3640</v>
      </c>
      <c r="E303">
        <v>2506</v>
      </c>
    </row>
    <row r="304" spans="1:5" x14ac:dyDescent="0.35">
      <c r="A304" t="s">
        <v>9</v>
      </c>
      <c r="B304" s="8">
        <v>45017</v>
      </c>
      <c r="C304" t="s">
        <v>27</v>
      </c>
      <c r="D304">
        <v>3666</v>
      </c>
      <c r="E304">
        <v>3153</v>
      </c>
    </row>
    <row r="305" spans="1:5" x14ac:dyDescent="0.35">
      <c r="A305" t="s">
        <v>9</v>
      </c>
      <c r="B305" s="8">
        <v>44986</v>
      </c>
      <c r="C305" t="s">
        <v>27</v>
      </c>
      <c r="D305">
        <v>4199</v>
      </c>
      <c r="E305">
        <v>2705</v>
      </c>
    </row>
    <row r="306" spans="1:5" x14ac:dyDescent="0.35">
      <c r="A306" t="s">
        <v>9</v>
      </c>
      <c r="B306" s="8">
        <v>44958</v>
      </c>
      <c r="C306" t="s">
        <v>27</v>
      </c>
      <c r="D306">
        <v>3588</v>
      </c>
      <c r="E306">
        <v>2917</v>
      </c>
    </row>
    <row r="307" spans="1:5" x14ac:dyDescent="0.35">
      <c r="A307" t="s">
        <v>9</v>
      </c>
      <c r="B307" s="8">
        <v>44927</v>
      </c>
      <c r="C307" t="s">
        <v>27</v>
      </c>
      <c r="D307">
        <v>4641</v>
      </c>
      <c r="E307">
        <v>2935</v>
      </c>
    </row>
    <row r="308" spans="1:5" x14ac:dyDescent="0.35">
      <c r="A308" t="s">
        <v>9</v>
      </c>
      <c r="B308" s="8">
        <v>45444</v>
      </c>
      <c r="C308" t="s">
        <v>54</v>
      </c>
      <c r="D308">
        <v>27348</v>
      </c>
      <c r="E308">
        <v>14402</v>
      </c>
    </row>
    <row r="309" spans="1:5" x14ac:dyDescent="0.35">
      <c r="A309" t="s">
        <v>9</v>
      </c>
      <c r="B309" s="8">
        <v>45413</v>
      </c>
      <c r="C309" t="s">
        <v>54</v>
      </c>
      <c r="D309">
        <v>26270</v>
      </c>
      <c r="E309">
        <v>14669</v>
      </c>
    </row>
    <row r="310" spans="1:5" x14ac:dyDescent="0.35">
      <c r="A310" t="s">
        <v>9</v>
      </c>
      <c r="B310" s="8">
        <v>45383</v>
      </c>
      <c r="C310" t="s">
        <v>54</v>
      </c>
      <c r="D310">
        <v>23291</v>
      </c>
      <c r="E310">
        <v>13559</v>
      </c>
    </row>
    <row r="311" spans="1:5" x14ac:dyDescent="0.35">
      <c r="A311" t="s">
        <v>9</v>
      </c>
      <c r="B311" s="8">
        <v>45352</v>
      </c>
      <c r="C311" t="s">
        <v>54</v>
      </c>
      <c r="D311">
        <v>24893</v>
      </c>
      <c r="E311">
        <v>14429</v>
      </c>
    </row>
    <row r="312" spans="1:5" x14ac:dyDescent="0.35">
      <c r="A312" t="s">
        <v>9</v>
      </c>
      <c r="B312" s="8">
        <v>45323</v>
      </c>
      <c r="C312" t="s">
        <v>54</v>
      </c>
      <c r="D312">
        <v>23146</v>
      </c>
      <c r="E312">
        <v>15085</v>
      </c>
    </row>
    <row r="313" spans="1:5" x14ac:dyDescent="0.35">
      <c r="A313" t="s">
        <v>9</v>
      </c>
      <c r="B313" s="8">
        <v>45292</v>
      </c>
      <c r="C313" t="s">
        <v>54</v>
      </c>
      <c r="D313">
        <v>22012</v>
      </c>
      <c r="E313">
        <v>15997</v>
      </c>
    </row>
    <row r="314" spans="1:5" x14ac:dyDescent="0.35">
      <c r="A314" t="s">
        <v>9</v>
      </c>
      <c r="B314" s="8">
        <v>45261</v>
      </c>
      <c r="C314" t="s">
        <v>54</v>
      </c>
      <c r="D314">
        <v>23398</v>
      </c>
      <c r="E314">
        <v>13389</v>
      </c>
    </row>
    <row r="315" spans="1:5" x14ac:dyDescent="0.35">
      <c r="A315" t="s">
        <v>9</v>
      </c>
      <c r="B315" s="8">
        <v>45231</v>
      </c>
      <c r="C315" t="s">
        <v>54</v>
      </c>
      <c r="D315">
        <v>21733</v>
      </c>
      <c r="E315">
        <v>14867</v>
      </c>
    </row>
    <row r="316" spans="1:5" x14ac:dyDescent="0.35">
      <c r="A316" t="s">
        <v>9</v>
      </c>
      <c r="B316" s="8">
        <v>45200</v>
      </c>
      <c r="C316" t="s">
        <v>54</v>
      </c>
      <c r="D316">
        <v>21865</v>
      </c>
      <c r="E316">
        <v>12760</v>
      </c>
    </row>
    <row r="317" spans="1:5" x14ac:dyDescent="0.35">
      <c r="A317" t="s">
        <v>9</v>
      </c>
      <c r="B317" s="8">
        <v>45170</v>
      </c>
      <c r="C317" t="s">
        <v>54</v>
      </c>
      <c r="D317">
        <v>19206</v>
      </c>
      <c r="E317">
        <v>13014</v>
      </c>
    </row>
    <row r="318" spans="1:5" x14ac:dyDescent="0.35">
      <c r="A318" t="s">
        <v>9</v>
      </c>
      <c r="B318" s="8">
        <v>45139</v>
      </c>
      <c r="C318" t="s">
        <v>54</v>
      </c>
      <c r="D318">
        <v>20044</v>
      </c>
      <c r="E318">
        <v>12083</v>
      </c>
    </row>
    <row r="319" spans="1:5" x14ac:dyDescent="0.35">
      <c r="A319" t="s">
        <v>9</v>
      </c>
      <c r="B319" s="8">
        <v>45108</v>
      </c>
      <c r="C319" t="s">
        <v>54</v>
      </c>
      <c r="D319">
        <v>20607</v>
      </c>
      <c r="E319">
        <v>12148</v>
      </c>
    </row>
    <row r="320" spans="1:5" x14ac:dyDescent="0.35">
      <c r="A320" t="s">
        <v>9</v>
      </c>
      <c r="B320" s="8">
        <v>45078</v>
      </c>
      <c r="C320" t="s">
        <v>54</v>
      </c>
      <c r="D320">
        <v>20457</v>
      </c>
      <c r="E320">
        <v>13420</v>
      </c>
    </row>
    <row r="321" spans="1:5" x14ac:dyDescent="0.35">
      <c r="A321" t="s">
        <v>9</v>
      </c>
      <c r="B321" s="8">
        <v>45047</v>
      </c>
      <c r="C321" t="s">
        <v>54</v>
      </c>
      <c r="D321">
        <v>21435</v>
      </c>
      <c r="E321">
        <v>13004</v>
      </c>
    </row>
    <row r="322" spans="1:5" x14ac:dyDescent="0.35">
      <c r="A322" t="s">
        <v>9</v>
      </c>
      <c r="B322" s="8">
        <v>45017</v>
      </c>
      <c r="C322" t="s">
        <v>54</v>
      </c>
      <c r="D322">
        <v>21308</v>
      </c>
      <c r="E322">
        <v>14874</v>
      </c>
    </row>
    <row r="323" spans="1:5" x14ac:dyDescent="0.35">
      <c r="A323" t="s">
        <v>9</v>
      </c>
      <c r="B323" s="8">
        <v>44986</v>
      </c>
      <c r="C323" t="s">
        <v>54</v>
      </c>
      <c r="D323">
        <v>22112</v>
      </c>
      <c r="E323">
        <v>13814</v>
      </c>
    </row>
    <row r="324" spans="1:5" x14ac:dyDescent="0.35">
      <c r="A324" t="s">
        <v>9</v>
      </c>
      <c r="B324" s="8">
        <v>44958</v>
      </c>
      <c r="C324" t="s">
        <v>54</v>
      </c>
      <c r="D324">
        <v>20500</v>
      </c>
      <c r="E324">
        <v>15356</v>
      </c>
    </row>
    <row r="325" spans="1:5" x14ac:dyDescent="0.35">
      <c r="A325" t="s">
        <v>9</v>
      </c>
      <c r="B325" s="8">
        <v>44927</v>
      </c>
      <c r="C325" t="s">
        <v>54</v>
      </c>
      <c r="D325">
        <v>23634</v>
      </c>
      <c r="E325">
        <v>15095</v>
      </c>
    </row>
    <row r="326" spans="1:5" x14ac:dyDescent="0.35">
      <c r="A326" t="s">
        <v>9</v>
      </c>
      <c r="B326" s="8">
        <v>45444</v>
      </c>
      <c r="C326" t="s">
        <v>55</v>
      </c>
      <c r="D326">
        <v>383170</v>
      </c>
      <c r="E326">
        <v>182550</v>
      </c>
    </row>
    <row r="327" spans="1:5" x14ac:dyDescent="0.35">
      <c r="A327" t="s">
        <v>9</v>
      </c>
      <c r="B327" s="8">
        <v>45413</v>
      </c>
      <c r="C327" t="s">
        <v>55</v>
      </c>
      <c r="D327">
        <v>395617</v>
      </c>
      <c r="E327">
        <v>197836</v>
      </c>
    </row>
    <row r="328" spans="1:5" x14ac:dyDescent="0.35">
      <c r="A328" t="s">
        <v>9</v>
      </c>
      <c r="B328" s="8">
        <v>45383</v>
      </c>
      <c r="C328" t="s">
        <v>55</v>
      </c>
      <c r="D328">
        <v>379693</v>
      </c>
      <c r="E328">
        <v>185531</v>
      </c>
    </row>
    <row r="329" spans="1:5" x14ac:dyDescent="0.35">
      <c r="A329" t="s">
        <v>9</v>
      </c>
      <c r="B329" s="8">
        <v>45352</v>
      </c>
      <c r="C329" t="s">
        <v>55</v>
      </c>
      <c r="D329">
        <v>397701</v>
      </c>
      <c r="E329">
        <v>191317</v>
      </c>
    </row>
    <row r="330" spans="1:5" x14ac:dyDescent="0.35">
      <c r="A330" t="s">
        <v>9</v>
      </c>
      <c r="B330" s="8">
        <v>45323</v>
      </c>
      <c r="C330" t="s">
        <v>55</v>
      </c>
      <c r="D330">
        <v>401631</v>
      </c>
      <c r="E330">
        <v>207308</v>
      </c>
    </row>
    <row r="331" spans="1:5" x14ac:dyDescent="0.35">
      <c r="A331" t="s">
        <v>9</v>
      </c>
      <c r="B331" s="8">
        <v>45292</v>
      </c>
      <c r="C331" t="s">
        <v>55</v>
      </c>
      <c r="D331">
        <v>435260</v>
      </c>
      <c r="E331">
        <v>199819</v>
      </c>
    </row>
    <row r="332" spans="1:5" x14ac:dyDescent="0.35">
      <c r="A332" t="s">
        <v>9</v>
      </c>
      <c r="B332" s="8">
        <v>45261</v>
      </c>
      <c r="C332" t="s">
        <v>55</v>
      </c>
      <c r="D332">
        <v>443044</v>
      </c>
      <c r="E332">
        <v>191457</v>
      </c>
    </row>
    <row r="333" spans="1:5" x14ac:dyDescent="0.35">
      <c r="A333" t="s">
        <v>9</v>
      </c>
      <c r="B333" s="8">
        <v>45231</v>
      </c>
      <c r="C333" t="s">
        <v>55</v>
      </c>
      <c r="D333">
        <v>407679</v>
      </c>
      <c r="E333">
        <v>197190</v>
      </c>
    </row>
    <row r="334" spans="1:5" x14ac:dyDescent="0.35">
      <c r="A334" t="s">
        <v>9</v>
      </c>
      <c r="B334" s="8">
        <v>45200</v>
      </c>
      <c r="C334" t="s">
        <v>55</v>
      </c>
      <c r="D334">
        <v>416200</v>
      </c>
      <c r="E334">
        <v>179205</v>
      </c>
    </row>
    <row r="335" spans="1:5" x14ac:dyDescent="0.35">
      <c r="A335" t="s">
        <v>9</v>
      </c>
      <c r="B335" s="8">
        <v>45170</v>
      </c>
      <c r="C335" t="s">
        <v>55</v>
      </c>
      <c r="D335">
        <v>387614</v>
      </c>
      <c r="E335">
        <v>187870</v>
      </c>
    </row>
    <row r="336" spans="1:5" x14ac:dyDescent="0.35">
      <c r="A336" t="s">
        <v>9</v>
      </c>
      <c r="B336" s="8">
        <v>45139</v>
      </c>
      <c r="C336" t="s">
        <v>55</v>
      </c>
      <c r="D336">
        <v>369773</v>
      </c>
      <c r="E336">
        <v>175312</v>
      </c>
    </row>
    <row r="337" spans="1:5" x14ac:dyDescent="0.35">
      <c r="A337" t="s">
        <v>9</v>
      </c>
      <c r="B337" s="8">
        <v>45108</v>
      </c>
      <c r="C337" t="s">
        <v>29</v>
      </c>
      <c r="D337">
        <v>363444</v>
      </c>
      <c r="E337">
        <v>172321</v>
      </c>
    </row>
    <row r="338" spans="1:5" x14ac:dyDescent="0.35">
      <c r="A338" t="s">
        <v>9</v>
      </c>
      <c r="B338" s="8">
        <v>45078</v>
      </c>
      <c r="C338" t="s">
        <v>29</v>
      </c>
      <c r="D338">
        <v>357051</v>
      </c>
      <c r="E338">
        <v>181880</v>
      </c>
    </row>
    <row r="339" spans="1:5" x14ac:dyDescent="0.35">
      <c r="A339" t="s">
        <v>9</v>
      </c>
      <c r="B339" s="8">
        <v>45047</v>
      </c>
      <c r="C339" t="s">
        <v>29</v>
      </c>
      <c r="D339">
        <v>383576</v>
      </c>
      <c r="E339">
        <v>169262</v>
      </c>
    </row>
    <row r="340" spans="1:5" x14ac:dyDescent="0.35">
      <c r="A340" t="s">
        <v>9</v>
      </c>
      <c r="B340" s="8">
        <v>45017</v>
      </c>
      <c r="C340" t="s">
        <v>29</v>
      </c>
      <c r="D340">
        <v>373937</v>
      </c>
      <c r="E340">
        <v>194411</v>
      </c>
    </row>
    <row r="341" spans="1:5" x14ac:dyDescent="0.35">
      <c r="A341" t="s">
        <v>9</v>
      </c>
      <c r="B341" s="8">
        <v>44986</v>
      </c>
      <c r="C341" t="s">
        <v>29</v>
      </c>
      <c r="D341">
        <v>387572</v>
      </c>
      <c r="E341">
        <v>177682</v>
      </c>
    </row>
    <row r="342" spans="1:5" x14ac:dyDescent="0.35">
      <c r="A342" t="s">
        <v>9</v>
      </c>
      <c r="B342" s="8">
        <v>44958</v>
      </c>
      <c r="C342" t="s">
        <v>29</v>
      </c>
      <c r="D342">
        <v>337966</v>
      </c>
      <c r="E342">
        <v>194913</v>
      </c>
    </row>
    <row r="343" spans="1:5" x14ac:dyDescent="0.35">
      <c r="A343" t="s">
        <v>9</v>
      </c>
      <c r="B343" s="8">
        <v>44927</v>
      </c>
      <c r="C343" t="s">
        <v>29</v>
      </c>
      <c r="D343">
        <v>378667</v>
      </c>
      <c r="E343">
        <v>220473</v>
      </c>
    </row>
    <row r="344" spans="1:5" x14ac:dyDescent="0.35">
      <c r="A344" t="s">
        <v>11</v>
      </c>
      <c r="B344" s="8">
        <v>45444</v>
      </c>
      <c r="C344" t="s">
        <v>56</v>
      </c>
      <c r="D344">
        <v>364729</v>
      </c>
      <c r="E344">
        <v>194558</v>
      </c>
    </row>
    <row r="345" spans="1:5" x14ac:dyDescent="0.35">
      <c r="A345" t="s">
        <v>11</v>
      </c>
      <c r="B345" s="8">
        <v>45413</v>
      </c>
      <c r="C345" t="s">
        <v>56</v>
      </c>
      <c r="D345">
        <v>378832</v>
      </c>
      <c r="E345">
        <v>218753</v>
      </c>
    </row>
    <row r="346" spans="1:5" x14ac:dyDescent="0.35">
      <c r="A346" t="s">
        <v>11</v>
      </c>
      <c r="B346" s="8">
        <v>45383</v>
      </c>
      <c r="C346" t="s">
        <v>56</v>
      </c>
      <c r="D346">
        <v>380966</v>
      </c>
      <c r="E346">
        <v>196089</v>
      </c>
    </row>
    <row r="347" spans="1:5" x14ac:dyDescent="0.35">
      <c r="A347" t="s">
        <v>11</v>
      </c>
      <c r="B347" s="8">
        <v>45352</v>
      </c>
      <c r="C347" t="s">
        <v>56</v>
      </c>
      <c r="D347">
        <v>388890</v>
      </c>
      <c r="E347">
        <v>229935</v>
      </c>
    </row>
    <row r="348" spans="1:5" x14ac:dyDescent="0.35">
      <c r="A348" t="s">
        <v>11</v>
      </c>
      <c r="B348" s="8">
        <v>45323</v>
      </c>
      <c r="C348" t="s">
        <v>56</v>
      </c>
      <c r="D348">
        <v>376312</v>
      </c>
      <c r="E348">
        <v>237552</v>
      </c>
    </row>
    <row r="349" spans="1:5" x14ac:dyDescent="0.35">
      <c r="A349" t="s">
        <v>11</v>
      </c>
      <c r="B349" s="8">
        <v>45292</v>
      </c>
      <c r="C349" t="s">
        <v>56</v>
      </c>
      <c r="D349">
        <v>379992</v>
      </c>
      <c r="E349">
        <v>251084</v>
      </c>
    </row>
    <row r="350" spans="1:5" x14ac:dyDescent="0.35">
      <c r="A350" t="s">
        <v>11</v>
      </c>
      <c r="B350" s="8">
        <v>45261</v>
      </c>
      <c r="C350" t="s">
        <v>56</v>
      </c>
      <c r="D350">
        <v>391644</v>
      </c>
      <c r="E350">
        <v>203075</v>
      </c>
    </row>
    <row r="351" spans="1:5" x14ac:dyDescent="0.35">
      <c r="A351" t="s">
        <v>11</v>
      </c>
      <c r="B351" s="8">
        <v>45231</v>
      </c>
      <c r="C351" t="s">
        <v>56</v>
      </c>
      <c r="D351">
        <v>381869</v>
      </c>
      <c r="E351">
        <v>216199</v>
      </c>
    </row>
    <row r="352" spans="1:5" x14ac:dyDescent="0.35">
      <c r="A352" t="s">
        <v>11</v>
      </c>
      <c r="B352" s="8">
        <v>45200</v>
      </c>
      <c r="C352" t="s">
        <v>56</v>
      </c>
      <c r="D352">
        <v>371795</v>
      </c>
      <c r="E352">
        <v>197526</v>
      </c>
    </row>
    <row r="353" spans="1:5" x14ac:dyDescent="0.35">
      <c r="A353" t="s">
        <v>11</v>
      </c>
      <c r="B353" s="8">
        <v>45170</v>
      </c>
      <c r="C353" t="s">
        <v>56</v>
      </c>
      <c r="D353">
        <v>357002</v>
      </c>
      <c r="E353">
        <v>205857</v>
      </c>
    </row>
    <row r="354" spans="1:5" x14ac:dyDescent="0.35">
      <c r="A354" t="s">
        <v>11</v>
      </c>
      <c r="B354" s="8">
        <v>45139</v>
      </c>
      <c r="C354" t="s">
        <v>56</v>
      </c>
      <c r="D354">
        <v>375768</v>
      </c>
      <c r="E354">
        <v>181324</v>
      </c>
    </row>
    <row r="355" spans="1:5" x14ac:dyDescent="0.35">
      <c r="A355" t="s">
        <v>11</v>
      </c>
      <c r="B355" s="8">
        <v>45108</v>
      </c>
      <c r="C355" t="s">
        <v>30</v>
      </c>
      <c r="D355">
        <v>366114</v>
      </c>
      <c r="E355">
        <v>190568</v>
      </c>
    </row>
    <row r="356" spans="1:5" x14ac:dyDescent="0.35">
      <c r="A356" t="s">
        <v>11</v>
      </c>
      <c r="B356" s="8">
        <v>45078</v>
      </c>
      <c r="C356" t="s">
        <v>30</v>
      </c>
      <c r="D356">
        <v>362626</v>
      </c>
      <c r="E356">
        <v>203957</v>
      </c>
    </row>
    <row r="357" spans="1:5" x14ac:dyDescent="0.35">
      <c r="A357" t="s">
        <v>11</v>
      </c>
      <c r="B357" s="8">
        <v>45047</v>
      </c>
      <c r="C357" t="s">
        <v>30</v>
      </c>
      <c r="D357">
        <v>368220</v>
      </c>
      <c r="E357">
        <v>197615</v>
      </c>
    </row>
    <row r="358" spans="1:5" x14ac:dyDescent="0.35">
      <c r="A358" t="s">
        <v>11</v>
      </c>
      <c r="B358" s="8">
        <v>45017</v>
      </c>
      <c r="C358" t="s">
        <v>30</v>
      </c>
      <c r="D358">
        <v>376986</v>
      </c>
      <c r="E358">
        <v>237990</v>
      </c>
    </row>
    <row r="359" spans="1:5" x14ac:dyDescent="0.35">
      <c r="A359" t="s">
        <v>11</v>
      </c>
      <c r="B359" s="8">
        <v>44986</v>
      </c>
      <c r="C359" t="s">
        <v>30</v>
      </c>
      <c r="D359">
        <v>403116</v>
      </c>
      <c r="E359">
        <v>216028</v>
      </c>
    </row>
    <row r="360" spans="1:5" x14ac:dyDescent="0.35">
      <c r="A360" t="s">
        <v>11</v>
      </c>
      <c r="B360" s="8">
        <v>44958</v>
      </c>
      <c r="C360" t="s">
        <v>30</v>
      </c>
      <c r="D360">
        <v>373863</v>
      </c>
      <c r="E360">
        <v>238906</v>
      </c>
    </row>
    <row r="361" spans="1:5" x14ac:dyDescent="0.35">
      <c r="A361" t="s">
        <v>11</v>
      </c>
      <c r="B361" s="8">
        <v>44927</v>
      </c>
      <c r="C361" t="s">
        <v>30</v>
      </c>
      <c r="D361">
        <v>398262</v>
      </c>
      <c r="E361">
        <v>244847</v>
      </c>
    </row>
    <row r="362" spans="1:5" x14ac:dyDescent="0.35">
      <c r="A362" t="s">
        <v>9</v>
      </c>
      <c r="B362" s="8">
        <v>45444</v>
      </c>
      <c r="C362" t="s">
        <v>57</v>
      </c>
      <c r="D362">
        <v>70818</v>
      </c>
      <c r="E362">
        <v>47460</v>
      </c>
    </row>
    <row r="363" spans="1:5" x14ac:dyDescent="0.35">
      <c r="A363" t="s">
        <v>9</v>
      </c>
      <c r="B363" s="8">
        <v>45413</v>
      </c>
      <c r="C363" t="s">
        <v>57</v>
      </c>
      <c r="D363">
        <v>66489</v>
      </c>
      <c r="E363">
        <v>53578</v>
      </c>
    </row>
    <row r="364" spans="1:5" x14ac:dyDescent="0.35">
      <c r="A364" t="s">
        <v>9</v>
      </c>
      <c r="B364" s="8">
        <v>45383</v>
      </c>
      <c r="C364" t="s">
        <v>57</v>
      </c>
      <c r="D364">
        <v>69110</v>
      </c>
      <c r="E364">
        <v>49023</v>
      </c>
    </row>
    <row r="365" spans="1:5" x14ac:dyDescent="0.35">
      <c r="A365" t="s">
        <v>9</v>
      </c>
      <c r="B365" s="8">
        <v>45352</v>
      </c>
      <c r="C365" t="s">
        <v>57</v>
      </c>
      <c r="D365">
        <v>77351</v>
      </c>
      <c r="E365">
        <v>53010</v>
      </c>
    </row>
    <row r="366" spans="1:5" x14ac:dyDescent="0.35">
      <c r="A366" t="s">
        <v>9</v>
      </c>
      <c r="B366" s="8">
        <v>45323</v>
      </c>
      <c r="C366" t="s">
        <v>57</v>
      </c>
      <c r="D366">
        <v>65515</v>
      </c>
      <c r="E366">
        <v>58842</v>
      </c>
    </row>
    <row r="367" spans="1:5" x14ac:dyDescent="0.35">
      <c r="A367" t="s">
        <v>9</v>
      </c>
      <c r="B367" s="8">
        <v>45292</v>
      </c>
      <c r="C367" t="s">
        <v>57</v>
      </c>
      <c r="D367">
        <v>70551</v>
      </c>
      <c r="E367">
        <v>60790</v>
      </c>
    </row>
    <row r="368" spans="1:5" x14ac:dyDescent="0.35">
      <c r="A368" t="s">
        <v>9</v>
      </c>
      <c r="B368" s="8">
        <v>45261</v>
      </c>
      <c r="C368" t="s">
        <v>57</v>
      </c>
      <c r="D368">
        <v>62721</v>
      </c>
      <c r="E368">
        <v>50033</v>
      </c>
    </row>
    <row r="369" spans="1:5" x14ac:dyDescent="0.35">
      <c r="A369" t="s">
        <v>9</v>
      </c>
      <c r="B369" s="8">
        <v>45231</v>
      </c>
      <c r="C369" t="s">
        <v>57</v>
      </c>
      <c r="D369">
        <v>66256</v>
      </c>
      <c r="E369">
        <v>53228</v>
      </c>
    </row>
    <row r="370" spans="1:5" x14ac:dyDescent="0.35">
      <c r="A370" t="s">
        <v>9</v>
      </c>
      <c r="B370" s="8">
        <v>45200</v>
      </c>
      <c r="C370" t="s">
        <v>57</v>
      </c>
      <c r="D370">
        <v>58832</v>
      </c>
      <c r="E370">
        <v>46716</v>
      </c>
    </row>
    <row r="371" spans="1:5" x14ac:dyDescent="0.35">
      <c r="A371" t="s">
        <v>9</v>
      </c>
      <c r="B371" s="8">
        <v>45170</v>
      </c>
      <c r="C371" t="s">
        <v>57</v>
      </c>
      <c r="D371">
        <v>58672</v>
      </c>
      <c r="E371">
        <v>47655</v>
      </c>
    </row>
    <row r="372" spans="1:5" x14ac:dyDescent="0.35">
      <c r="A372" t="s">
        <v>9</v>
      </c>
      <c r="B372" s="8">
        <v>45139</v>
      </c>
      <c r="C372" t="s">
        <v>57</v>
      </c>
      <c r="D372">
        <v>58724</v>
      </c>
      <c r="E372">
        <v>46611</v>
      </c>
    </row>
    <row r="373" spans="1:5" x14ac:dyDescent="0.35">
      <c r="A373" t="s">
        <v>9</v>
      </c>
      <c r="B373" s="8">
        <v>45108</v>
      </c>
      <c r="C373" t="s">
        <v>31</v>
      </c>
      <c r="D373">
        <v>55518</v>
      </c>
      <c r="E373">
        <v>44366</v>
      </c>
    </row>
    <row r="374" spans="1:5" x14ac:dyDescent="0.35">
      <c r="A374" t="s">
        <v>9</v>
      </c>
      <c r="B374" s="8">
        <v>45078</v>
      </c>
      <c r="C374" t="s">
        <v>31</v>
      </c>
      <c r="D374">
        <v>61541</v>
      </c>
      <c r="E374">
        <v>49382</v>
      </c>
    </row>
    <row r="375" spans="1:5" x14ac:dyDescent="0.35">
      <c r="A375" t="s">
        <v>9</v>
      </c>
      <c r="B375" s="8">
        <v>45047</v>
      </c>
      <c r="C375" t="s">
        <v>31</v>
      </c>
      <c r="D375">
        <v>56828</v>
      </c>
      <c r="E375">
        <v>45159</v>
      </c>
    </row>
    <row r="376" spans="1:5" x14ac:dyDescent="0.35">
      <c r="A376" t="s">
        <v>9</v>
      </c>
      <c r="B376" s="8">
        <v>45017</v>
      </c>
      <c r="C376" t="s">
        <v>31</v>
      </c>
      <c r="D376">
        <v>63413</v>
      </c>
      <c r="E376">
        <v>51757</v>
      </c>
    </row>
    <row r="377" spans="1:5" x14ac:dyDescent="0.35">
      <c r="A377" t="s">
        <v>9</v>
      </c>
      <c r="B377" s="8">
        <v>44986</v>
      </c>
      <c r="C377" t="s">
        <v>31</v>
      </c>
      <c r="D377">
        <v>63123</v>
      </c>
      <c r="E377">
        <v>50853</v>
      </c>
    </row>
    <row r="378" spans="1:5" x14ac:dyDescent="0.35">
      <c r="A378" t="s">
        <v>9</v>
      </c>
      <c r="B378" s="8">
        <v>44958</v>
      </c>
      <c r="C378" t="s">
        <v>31</v>
      </c>
      <c r="D378">
        <v>65432</v>
      </c>
      <c r="E378">
        <v>54532</v>
      </c>
    </row>
    <row r="379" spans="1:5" x14ac:dyDescent="0.35">
      <c r="A379" t="s">
        <v>9</v>
      </c>
      <c r="B379" s="8">
        <v>44927</v>
      </c>
      <c r="C379" t="s">
        <v>31</v>
      </c>
      <c r="D379">
        <v>62792</v>
      </c>
      <c r="E379">
        <v>57353</v>
      </c>
    </row>
    <row r="380" spans="1:5" x14ac:dyDescent="0.35">
      <c r="A380" t="s">
        <v>9</v>
      </c>
      <c r="B380" s="8">
        <v>45444</v>
      </c>
      <c r="C380" t="s">
        <v>58</v>
      </c>
      <c r="D380">
        <v>32147</v>
      </c>
      <c r="E380">
        <v>24703</v>
      </c>
    </row>
    <row r="381" spans="1:5" x14ac:dyDescent="0.35">
      <c r="A381" t="s">
        <v>9</v>
      </c>
      <c r="B381" s="8">
        <v>45413</v>
      </c>
      <c r="C381" t="s">
        <v>58</v>
      </c>
      <c r="D381">
        <v>30686</v>
      </c>
      <c r="E381">
        <v>28003</v>
      </c>
    </row>
    <row r="382" spans="1:5" x14ac:dyDescent="0.35">
      <c r="A382" t="s">
        <v>9</v>
      </c>
      <c r="B382" s="8">
        <v>45383</v>
      </c>
      <c r="C382" t="s">
        <v>58</v>
      </c>
      <c r="D382">
        <v>31062</v>
      </c>
      <c r="E382">
        <v>24787</v>
      </c>
    </row>
    <row r="383" spans="1:5" x14ac:dyDescent="0.35">
      <c r="A383" t="s">
        <v>9</v>
      </c>
      <c r="B383" s="8">
        <v>45352</v>
      </c>
      <c r="C383" t="s">
        <v>58</v>
      </c>
      <c r="D383">
        <v>33566</v>
      </c>
      <c r="E383">
        <v>26137</v>
      </c>
    </row>
    <row r="384" spans="1:5" x14ac:dyDescent="0.35">
      <c r="A384" t="s">
        <v>9</v>
      </c>
      <c r="B384" s="8">
        <v>45323</v>
      </c>
      <c r="C384" t="s">
        <v>58</v>
      </c>
      <c r="D384">
        <v>34162</v>
      </c>
      <c r="E384">
        <v>29843</v>
      </c>
    </row>
    <row r="385" spans="1:5" x14ac:dyDescent="0.35">
      <c r="A385" t="s">
        <v>9</v>
      </c>
      <c r="B385" s="8">
        <v>45292</v>
      </c>
      <c r="C385" t="s">
        <v>58</v>
      </c>
      <c r="D385">
        <v>35155</v>
      </c>
      <c r="E385">
        <v>28405</v>
      </c>
    </row>
    <row r="386" spans="1:5" x14ac:dyDescent="0.35">
      <c r="A386" t="s">
        <v>9</v>
      </c>
      <c r="B386" s="8">
        <v>45261</v>
      </c>
      <c r="C386" t="s">
        <v>58</v>
      </c>
      <c r="D386">
        <v>35265</v>
      </c>
      <c r="E386">
        <v>24567</v>
      </c>
    </row>
    <row r="387" spans="1:5" x14ac:dyDescent="0.35">
      <c r="A387" t="s">
        <v>9</v>
      </c>
      <c r="B387" s="8">
        <v>45231</v>
      </c>
      <c r="C387" t="s">
        <v>58</v>
      </c>
      <c r="D387">
        <v>31528</v>
      </c>
      <c r="E387">
        <v>26914</v>
      </c>
    </row>
    <row r="388" spans="1:5" x14ac:dyDescent="0.35">
      <c r="A388" t="s">
        <v>9</v>
      </c>
      <c r="B388" s="8">
        <v>45200</v>
      </c>
      <c r="C388" t="s">
        <v>58</v>
      </c>
      <c r="D388">
        <v>31358</v>
      </c>
      <c r="E388">
        <v>23890</v>
      </c>
    </row>
    <row r="389" spans="1:5" x14ac:dyDescent="0.35">
      <c r="A389" t="s">
        <v>9</v>
      </c>
      <c r="B389" s="8">
        <v>45170</v>
      </c>
      <c r="C389" t="s">
        <v>58</v>
      </c>
      <c r="D389">
        <v>33415</v>
      </c>
      <c r="E389">
        <v>23883</v>
      </c>
    </row>
    <row r="390" spans="1:5" x14ac:dyDescent="0.35">
      <c r="A390" t="s">
        <v>9</v>
      </c>
      <c r="B390" s="8">
        <v>45139</v>
      </c>
      <c r="C390" t="s">
        <v>58</v>
      </c>
      <c r="D390">
        <v>32597</v>
      </c>
      <c r="E390">
        <v>22839</v>
      </c>
    </row>
    <row r="391" spans="1:5" x14ac:dyDescent="0.35">
      <c r="A391" t="s">
        <v>9</v>
      </c>
      <c r="B391" s="8">
        <v>45108</v>
      </c>
      <c r="C391" t="s">
        <v>58</v>
      </c>
      <c r="D391">
        <v>32406</v>
      </c>
      <c r="E391">
        <v>23355</v>
      </c>
    </row>
    <row r="392" spans="1:5" x14ac:dyDescent="0.35">
      <c r="A392" t="s">
        <v>9</v>
      </c>
      <c r="B392" s="8">
        <v>45078</v>
      </c>
      <c r="C392" t="s">
        <v>58</v>
      </c>
      <c r="D392">
        <v>30122</v>
      </c>
      <c r="E392">
        <v>25330</v>
      </c>
    </row>
    <row r="393" spans="1:5" x14ac:dyDescent="0.35">
      <c r="A393" t="s">
        <v>9</v>
      </c>
      <c r="B393" s="8">
        <v>45047</v>
      </c>
      <c r="C393" t="s">
        <v>58</v>
      </c>
      <c r="D393">
        <v>30519</v>
      </c>
      <c r="E393">
        <v>23340</v>
      </c>
    </row>
    <row r="394" spans="1:5" x14ac:dyDescent="0.35">
      <c r="A394" t="s">
        <v>9</v>
      </c>
      <c r="B394" s="8">
        <v>45017</v>
      </c>
      <c r="C394" t="s">
        <v>58</v>
      </c>
      <c r="D394">
        <v>31553</v>
      </c>
      <c r="E394">
        <v>26866</v>
      </c>
    </row>
    <row r="395" spans="1:5" x14ac:dyDescent="0.35">
      <c r="A395" t="s">
        <v>9</v>
      </c>
      <c r="B395" s="8">
        <v>44986</v>
      </c>
      <c r="C395" t="s">
        <v>58</v>
      </c>
      <c r="D395">
        <v>34401</v>
      </c>
      <c r="E395">
        <v>25207</v>
      </c>
    </row>
    <row r="396" spans="1:5" x14ac:dyDescent="0.35">
      <c r="A396" t="s">
        <v>9</v>
      </c>
      <c r="B396" s="8">
        <v>44958</v>
      </c>
      <c r="C396" t="s">
        <v>58</v>
      </c>
      <c r="D396">
        <v>30372</v>
      </c>
      <c r="E396">
        <v>26126</v>
      </c>
    </row>
    <row r="397" spans="1:5" x14ac:dyDescent="0.35">
      <c r="A397" t="s">
        <v>9</v>
      </c>
      <c r="B397" s="8">
        <v>44927</v>
      </c>
      <c r="C397" t="s">
        <v>58</v>
      </c>
      <c r="D397">
        <v>34648</v>
      </c>
      <c r="E397">
        <v>28315</v>
      </c>
    </row>
    <row r="398" spans="1:5" x14ac:dyDescent="0.35">
      <c r="A398" t="s">
        <v>9</v>
      </c>
      <c r="B398" s="8">
        <v>45444</v>
      </c>
      <c r="C398" t="s">
        <v>59</v>
      </c>
      <c r="D398">
        <v>8342</v>
      </c>
      <c r="E398">
        <v>3726</v>
      </c>
    </row>
    <row r="399" spans="1:5" x14ac:dyDescent="0.35">
      <c r="A399" t="s">
        <v>9</v>
      </c>
      <c r="B399" s="8">
        <v>45413</v>
      </c>
      <c r="C399" t="s">
        <v>59</v>
      </c>
      <c r="D399">
        <v>8339</v>
      </c>
      <c r="E399">
        <v>3428</v>
      </c>
    </row>
    <row r="400" spans="1:5" x14ac:dyDescent="0.35">
      <c r="A400" t="s">
        <v>9</v>
      </c>
      <c r="B400" s="8">
        <v>45383</v>
      </c>
      <c r="C400" t="s">
        <v>59</v>
      </c>
      <c r="D400">
        <v>7852</v>
      </c>
      <c r="E400">
        <v>3750</v>
      </c>
    </row>
    <row r="401" spans="1:5" x14ac:dyDescent="0.35">
      <c r="A401" t="s">
        <v>9</v>
      </c>
      <c r="B401" s="8">
        <v>45352</v>
      </c>
      <c r="C401" t="s">
        <v>59</v>
      </c>
      <c r="D401">
        <v>8405</v>
      </c>
      <c r="E401">
        <v>4315</v>
      </c>
    </row>
    <row r="402" spans="1:5" x14ac:dyDescent="0.35">
      <c r="A402" t="s">
        <v>9</v>
      </c>
      <c r="B402" s="8">
        <v>45323</v>
      </c>
      <c r="C402" t="s">
        <v>59</v>
      </c>
      <c r="D402">
        <v>10424</v>
      </c>
      <c r="E402">
        <v>3755</v>
      </c>
    </row>
    <row r="403" spans="1:5" x14ac:dyDescent="0.35">
      <c r="A403" t="s">
        <v>9</v>
      </c>
      <c r="B403" s="8">
        <v>45292</v>
      </c>
      <c r="C403" t="s">
        <v>59</v>
      </c>
      <c r="D403">
        <v>10337</v>
      </c>
      <c r="E403">
        <v>4558</v>
      </c>
    </row>
    <row r="404" spans="1:5" x14ac:dyDescent="0.35">
      <c r="A404" t="s">
        <v>9</v>
      </c>
      <c r="B404" s="8">
        <v>45261</v>
      </c>
      <c r="C404" t="s">
        <v>59</v>
      </c>
      <c r="D404">
        <v>7531</v>
      </c>
      <c r="E404">
        <v>3448</v>
      </c>
    </row>
    <row r="405" spans="1:5" x14ac:dyDescent="0.35">
      <c r="A405" t="s">
        <v>9</v>
      </c>
      <c r="B405" s="8">
        <v>45231</v>
      </c>
      <c r="C405" t="s">
        <v>59</v>
      </c>
      <c r="D405">
        <v>5992</v>
      </c>
      <c r="E405">
        <v>3516</v>
      </c>
    </row>
    <row r="406" spans="1:5" x14ac:dyDescent="0.35">
      <c r="A406" t="s">
        <v>9</v>
      </c>
      <c r="B406" s="8">
        <v>45200</v>
      </c>
      <c r="C406" t="s">
        <v>59</v>
      </c>
      <c r="D406">
        <v>7941</v>
      </c>
      <c r="E406">
        <v>3441</v>
      </c>
    </row>
    <row r="407" spans="1:5" x14ac:dyDescent="0.35">
      <c r="A407" t="s">
        <v>9</v>
      </c>
      <c r="B407" s="8">
        <v>45170</v>
      </c>
      <c r="C407" t="s">
        <v>59</v>
      </c>
      <c r="D407">
        <v>7672</v>
      </c>
      <c r="E407">
        <v>3411</v>
      </c>
    </row>
    <row r="408" spans="1:5" x14ac:dyDescent="0.35">
      <c r="A408" t="s">
        <v>9</v>
      </c>
      <c r="B408" s="8">
        <v>45139</v>
      </c>
      <c r="C408" t="s">
        <v>59</v>
      </c>
      <c r="D408">
        <v>7851</v>
      </c>
      <c r="E408">
        <v>3108</v>
      </c>
    </row>
    <row r="409" spans="1:5" x14ac:dyDescent="0.35">
      <c r="A409" t="s">
        <v>9</v>
      </c>
      <c r="B409" s="8">
        <v>45108</v>
      </c>
      <c r="C409" t="s">
        <v>33</v>
      </c>
      <c r="D409">
        <v>7574</v>
      </c>
      <c r="E409">
        <v>3572</v>
      </c>
    </row>
    <row r="410" spans="1:5" x14ac:dyDescent="0.35">
      <c r="A410" t="s">
        <v>9</v>
      </c>
      <c r="B410" s="8">
        <v>45078</v>
      </c>
      <c r="C410" t="s">
        <v>33</v>
      </c>
      <c r="D410">
        <v>6995</v>
      </c>
      <c r="E410">
        <v>3058</v>
      </c>
    </row>
    <row r="411" spans="1:5" x14ac:dyDescent="0.35">
      <c r="A411" t="s">
        <v>9</v>
      </c>
      <c r="B411" s="8">
        <v>45047</v>
      </c>
      <c r="C411" t="s">
        <v>33</v>
      </c>
      <c r="D411">
        <v>5661</v>
      </c>
      <c r="E411">
        <v>3309</v>
      </c>
    </row>
    <row r="412" spans="1:5" x14ac:dyDescent="0.35">
      <c r="A412" t="s">
        <v>9</v>
      </c>
      <c r="B412" s="8">
        <v>45017</v>
      </c>
      <c r="C412" t="s">
        <v>33</v>
      </c>
      <c r="D412">
        <v>6587</v>
      </c>
      <c r="E412">
        <v>3713</v>
      </c>
    </row>
    <row r="413" spans="1:5" x14ac:dyDescent="0.35">
      <c r="A413" t="s">
        <v>9</v>
      </c>
      <c r="B413" s="8">
        <v>44986</v>
      </c>
      <c r="C413" t="s">
        <v>33</v>
      </c>
      <c r="D413">
        <v>7384</v>
      </c>
      <c r="E413">
        <v>3365</v>
      </c>
    </row>
    <row r="414" spans="1:5" x14ac:dyDescent="0.35">
      <c r="A414" t="s">
        <v>9</v>
      </c>
      <c r="B414" s="8">
        <v>44958</v>
      </c>
      <c r="C414" t="s">
        <v>33</v>
      </c>
      <c r="D414">
        <v>7545</v>
      </c>
      <c r="E414">
        <v>3396</v>
      </c>
    </row>
    <row r="415" spans="1:5" x14ac:dyDescent="0.35">
      <c r="A415" t="s">
        <v>9</v>
      </c>
      <c r="B415" s="8">
        <v>44927</v>
      </c>
      <c r="C415" t="s">
        <v>33</v>
      </c>
      <c r="D415">
        <v>10180</v>
      </c>
      <c r="E415">
        <v>4585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74647-BD04-4C18-88DE-B9332ACDAE8F}">
  <sheetPr codeName="Planilha4">
    <tabColor theme="9" tint="0.79998168889431442"/>
  </sheetPr>
  <dimension ref="B1:V317"/>
  <sheetViews>
    <sheetView showGridLines="0" tabSelected="1" zoomScale="90" zoomScaleNormal="90" workbookViewId="0">
      <selection activeCell="G11" sqref="G11"/>
    </sheetView>
  </sheetViews>
  <sheetFormatPr defaultRowHeight="14.5" x14ac:dyDescent="0.35"/>
  <cols>
    <col min="1" max="1" width="3.54296875" customWidth="1"/>
    <col min="2" max="2" width="16" customWidth="1"/>
    <col min="3" max="3" width="23.26953125" customWidth="1"/>
    <col min="4" max="4" width="17.81640625" customWidth="1"/>
    <col min="5" max="5" width="10.1796875" bestFit="1" customWidth="1"/>
    <col min="6" max="6" width="17.1796875" hidden="1" customWidth="1"/>
    <col min="7" max="7" width="29.26953125" customWidth="1"/>
    <col min="8" max="8" width="12.1796875" bestFit="1" customWidth="1"/>
    <col min="9" max="9" width="17.81640625" bestFit="1" customWidth="1"/>
    <col min="10" max="10" width="17.81640625" customWidth="1"/>
    <col min="11" max="11" width="2.26953125" customWidth="1"/>
    <col min="12" max="12" width="14.453125" bestFit="1" customWidth="1"/>
    <col min="13" max="13" width="8.54296875" bestFit="1" customWidth="1"/>
    <col min="14" max="14" width="15.81640625" bestFit="1" customWidth="1"/>
    <col min="15" max="15" width="1.81640625" customWidth="1"/>
    <col min="16" max="16" width="15.26953125" bestFit="1" customWidth="1"/>
    <col min="17" max="17" width="10.54296875" bestFit="1" customWidth="1"/>
    <col min="18" max="18" width="23.453125" bestFit="1" customWidth="1"/>
    <col min="19" max="19" width="27.54296875" bestFit="1" customWidth="1"/>
    <col min="20" max="20" width="2.453125" customWidth="1"/>
    <col min="21" max="21" width="37.1796875" bestFit="1" customWidth="1"/>
    <col min="22" max="22" width="14.1796875" bestFit="1" customWidth="1"/>
  </cols>
  <sheetData>
    <row r="1" spans="2:22" x14ac:dyDescent="0.35"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L1" t="s">
        <v>69</v>
      </c>
      <c r="M1" t="s">
        <v>70</v>
      </c>
      <c r="N1" t="s">
        <v>67</v>
      </c>
      <c r="P1" t="s">
        <v>71</v>
      </c>
      <c r="Q1" s="24" t="s">
        <v>70</v>
      </c>
      <c r="R1" s="24" t="s">
        <v>72</v>
      </c>
      <c r="S1" s="24" t="s">
        <v>73</v>
      </c>
      <c r="U1" s="32" t="s">
        <v>74</v>
      </c>
      <c r="V1" s="32" t="s">
        <v>72</v>
      </c>
    </row>
    <row r="2" spans="2:22" x14ac:dyDescent="0.35">
      <c r="B2" s="41" t="s">
        <v>75</v>
      </c>
      <c r="C2" s="44" t="s">
        <v>76</v>
      </c>
      <c r="D2" s="43" t="s">
        <v>77</v>
      </c>
      <c r="E2" s="52">
        <v>35.118160000000003</v>
      </c>
      <c r="F2" s="42" t="str">
        <f t="shared" ref="F2:F21" si="0">SUBSTITUTE(C2, " ", "")</f>
        <v>Alecrim</v>
      </c>
      <c r="G2" s="42" t="s">
        <v>78</v>
      </c>
      <c r="H2" s="42" t="s">
        <v>79</v>
      </c>
      <c r="I2" s="45" t="s">
        <v>80</v>
      </c>
      <c r="J2" t="s">
        <v>81</v>
      </c>
      <c r="L2" t="s">
        <v>82</v>
      </c>
      <c r="M2" t="s">
        <v>83</v>
      </c>
      <c r="N2" s="21" t="s">
        <v>84</v>
      </c>
      <c r="P2" t="s">
        <v>85</v>
      </c>
      <c r="Q2" s="23" t="s">
        <v>86</v>
      </c>
      <c r="R2" s="23" t="s">
        <v>87</v>
      </c>
      <c r="S2" s="23" t="s">
        <v>88</v>
      </c>
      <c r="U2" s="32" t="s">
        <v>89</v>
      </c>
      <c r="V2" s="32" t="s">
        <v>90</v>
      </c>
    </row>
    <row r="3" spans="2:22" x14ac:dyDescent="0.35">
      <c r="B3" s="41" t="s">
        <v>91</v>
      </c>
      <c r="C3" s="42" t="s">
        <v>38</v>
      </c>
      <c r="D3" s="43" t="s">
        <v>92</v>
      </c>
      <c r="E3" s="52">
        <v>255.3</v>
      </c>
      <c r="F3" s="42" t="str">
        <f t="shared" si="0"/>
        <v>Alegrete</v>
      </c>
      <c r="G3" s="42" t="s">
        <v>12</v>
      </c>
      <c r="H3" s="42" t="s">
        <v>79</v>
      </c>
      <c r="I3" s="41" t="s">
        <v>11</v>
      </c>
      <c r="J3" t="s">
        <v>93</v>
      </c>
      <c r="L3" t="s">
        <v>94</v>
      </c>
      <c r="M3" t="s">
        <v>83</v>
      </c>
      <c r="N3" s="16" t="s">
        <v>95</v>
      </c>
      <c r="P3" t="s">
        <v>96</v>
      </c>
      <c r="Q3" s="23" t="s">
        <v>86</v>
      </c>
      <c r="R3" s="23" t="s">
        <v>97</v>
      </c>
      <c r="S3" s="23" t="s">
        <v>98</v>
      </c>
      <c r="U3" s="32" t="s">
        <v>99</v>
      </c>
      <c r="V3" s="32" t="s">
        <v>39</v>
      </c>
    </row>
    <row r="4" spans="2:22" x14ac:dyDescent="0.35">
      <c r="B4" s="41" t="s">
        <v>75</v>
      </c>
      <c r="C4" s="44" t="s">
        <v>100</v>
      </c>
      <c r="D4" s="44" t="s">
        <v>101</v>
      </c>
      <c r="E4" s="52">
        <v>15.66696</v>
      </c>
      <c r="F4" s="42" t="str">
        <f t="shared" si="0"/>
        <v>BarraDoGuarita</v>
      </c>
      <c r="G4" s="44" t="s">
        <v>102</v>
      </c>
      <c r="H4" s="42" t="s">
        <v>79</v>
      </c>
      <c r="I4" s="44" t="s">
        <v>80</v>
      </c>
      <c r="J4" t="s">
        <v>103</v>
      </c>
      <c r="L4" t="s">
        <v>104</v>
      </c>
      <c r="M4" t="s">
        <v>105</v>
      </c>
      <c r="N4" s="21" t="s">
        <v>106</v>
      </c>
      <c r="P4" t="s">
        <v>107</v>
      </c>
      <c r="Q4" s="23" t="s">
        <v>86</v>
      </c>
      <c r="R4" s="23" t="s">
        <v>108</v>
      </c>
      <c r="S4" s="23" t="s">
        <v>109</v>
      </c>
      <c r="U4" s="32" t="s">
        <v>110</v>
      </c>
      <c r="V4" s="32" t="s">
        <v>39</v>
      </c>
    </row>
    <row r="5" spans="2:22" x14ac:dyDescent="0.35">
      <c r="B5" s="41" t="s">
        <v>91</v>
      </c>
      <c r="C5" s="42" t="s">
        <v>39</v>
      </c>
      <c r="D5" s="43" t="s">
        <v>111</v>
      </c>
      <c r="E5" s="52">
        <v>13.897</v>
      </c>
      <c r="F5" s="42" t="str">
        <f t="shared" si="0"/>
        <v>BarradoQuaraí</v>
      </c>
      <c r="G5" s="42" t="s">
        <v>112</v>
      </c>
      <c r="H5" s="42" t="s">
        <v>79</v>
      </c>
      <c r="I5" s="41" t="s">
        <v>11</v>
      </c>
      <c r="J5" t="s">
        <v>113</v>
      </c>
      <c r="L5" t="s">
        <v>114</v>
      </c>
      <c r="M5" t="s">
        <v>105</v>
      </c>
      <c r="N5" s="16" t="s">
        <v>80</v>
      </c>
      <c r="P5" t="s">
        <v>115</v>
      </c>
      <c r="Q5" s="23" t="s">
        <v>86</v>
      </c>
      <c r="R5" s="23" t="s">
        <v>116</v>
      </c>
      <c r="S5" s="23" t="s">
        <v>117</v>
      </c>
      <c r="U5" s="32" t="s">
        <v>118</v>
      </c>
      <c r="V5" s="32" t="s">
        <v>39</v>
      </c>
    </row>
    <row r="6" spans="2:22" x14ac:dyDescent="0.35">
      <c r="B6" s="41" t="s">
        <v>75</v>
      </c>
      <c r="C6" s="44" t="s">
        <v>119</v>
      </c>
      <c r="D6" s="44" t="s">
        <v>101</v>
      </c>
      <c r="E6" s="52">
        <v>50.488999999999997</v>
      </c>
      <c r="F6" s="42" t="str">
        <f t="shared" si="0"/>
        <v>BoaVistadoBuricá</v>
      </c>
      <c r="G6" s="44" t="s">
        <v>120</v>
      </c>
      <c r="H6" s="42" t="s">
        <v>79</v>
      </c>
      <c r="I6" s="44" t="s">
        <v>80</v>
      </c>
      <c r="J6" t="s">
        <v>121</v>
      </c>
      <c r="L6" t="s">
        <v>122</v>
      </c>
      <c r="M6" t="s">
        <v>123</v>
      </c>
      <c r="N6" s="21" t="s">
        <v>124</v>
      </c>
      <c r="P6" t="s">
        <v>125</v>
      </c>
      <c r="Q6" s="23" t="s">
        <v>86</v>
      </c>
      <c r="R6" s="23" t="s">
        <v>126</v>
      </c>
      <c r="S6" s="23" t="s">
        <v>127</v>
      </c>
      <c r="U6" s="32" t="s">
        <v>128</v>
      </c>
      <c r="V6" s="32" t="s">
        <v>39</v>
      </c>
    </row>
    <row r="7" spans="2:22" x14ac:dyDescent="0.35">
      <c r="B7" s="41" t="s">
        <v>75</v>
      </c>
      <c r="C7" s="44" t="s">
        <v>129</v>
      </c>
      <c r="D7" s="44" t="s">
        <v>101</v>
      </c>
      <c r="E7" s="52">
        <v>9.5762999999999998</v>
      </c>
      <c r="F7" s="42" t="str">
        <f t="shared" si="0"/>
        <v>BomProgresso</v>
      </c>
      <c r="G7" s="44" t="s">
        <v>130</v>
      </c>
      <c r="H7" s="42" t="s">
        <v>79</v>
      </c>
      <c r="I7" s="44" t="s">
        <v>80</v>
      </c>
      <c r="J7" t="s">
        <v>131</v>
      </c>
      <c r="L7" t="s">
        <v>132</v>
      </c>
      <c r="M7" t="s">
        <v>123</v>
      </c>
      <c r="N7" s="16" t="s">
        <v>133</v>
      </c>
      <c r="P7" t="s">
        <v>134</v>
      </c>
      <c r="Q7" s="23" t="s">
        <v>86</v>
      </c>
      <c r="R7" s="23" t="s">
        <v>135</v>
      </c>
      <c r="S7" s="23" t="s">
        <v>136</v>
      </c>
      <c r="U7" s="32" t="s">
        <v>137</v>
      </c>
      <c r="V7" s="32" t="s">
        <v>39</v>
      </c>
    </row>
    <row r="8" spans="2:22" x14ac:dyDescent="0.35">
      <c r="B8" s="41" t="s">
        <v>138</v>
      </c>
      <c r="C8" s="42" t="s">
        <v>40</v>
      </c>
      <c r="D8" s="43" t="s">
        <v>139</v>
      </c>
      <c r="E8" s="52">
        <v>20.637</v>
      </c>
      <c r="F8" s="42" t="str">
        <f t="shared" si="0"/>
        <v>Bossoroca</v>
      </c>
      <c r="G8" s="42" t="s">
        <v>14</v>
      </c>
      <c r="H8" s="42" t="s">
        <v>79</v>
      </c>
      <c r="I8" s="41" t="s">
        <v>9</v>
      </c>
      <c r="J8" t="s">
        <v>140</v>
      </c>
      <c r="L8" t="s">
        <v>141</v>
      </c>
      <c r="M8" t="s">
        <v>142</v>
      </c>
      <c r="N8" s="21" t="s">
        <v>143</v>
      </c>
      <c r="P8" t="s">
        <v>144</v>
      </c>
      <c r="Q8" s="23" t="s">
        <v>86</v>
      </c>
      <c r="R8" s="23" t="s">
        <v>145</v>
      </c>
      <c r="S8" s="23" t="s">
        <v>146</v>
      </c>
      <c r="U8" s="32" t="s">
        <v>147</v>
      </c>
      <c r="V8" s="32" t="s">
        <v>39</v>
      </c>
    </row>
    <row r="9" spans="2:22" x14ac:dyDescent="0.35">
      <c r="B9" s="41" t="s">
        <v>75</v>
      </c>
      <c r="C9" s="44" t="s">
        <v>148</v>
      </c>
      <c r="D9" s="44" t="s">
        <v>101</v>
      </c>
      <c r="E9" s="52">
        <v>10.507250000000001</v>
      </c>
      <c r="F9" s="42" t="str">
        <f t="shared" si="0"/>
        <v>Braga</v>
      </c>
      <c r="G9" s="44" t="s">
        <v>149</v>
      </c>
      <c r="H9" s="42" t="s">
        <v>79</v>
      </c>
      <c r="I9" s="44" t="s">
        <v>80</v>
      </c>
      <c r="J9" t="s">
        <v>150</v>
      </c>
      <c r="L9" t="s">
        <v>151</v>
      </c>
      <c r="M9" t="s">
        <v>142</v>
      </c>
      <c r="N9" s="16" t="s">
        <v>152</v>
      </c>
      <c r="P9" t="s">
        <v>153</v>
      </c>
      <c r="Q9" s="23" t="s">
        <v>86</v>
      </c>
      <c r="R9" s="23" t="s">
        <v>154</v>
      </c>
      <c r="S9" s="23" t="s">
        <v>155</v>
      </c>
      <c r="U9" s="32" t="s">
        <v>156</v>
      </c>
      <c r="V9" s="32" t="s">
        <v>39</v>
      </c>
    </row>
    <row r="10" spans="2:22" x14ac:dyDescent="0.35">
      <c r="B10" s="41" t="s">
        <v>91</v>
      </c>
      <c r="C10" s="42" t="s">
        <v>42</v>
      </c>
      <c r="D10" s="43" t="s">
        <v>157</v>
      </c>
      <c r="E10" s="52">
        <v>57.055</v>
      </c>
      <c r="F10" s="42" t="str">
        <f t="shared" si="0"/>
        <v>Cacequi</v>
      </c>
      <c r="G10" s="42" t="s">
        <v>16</v>
      </c>
      <c r="H10" s="42" t="s">
        <v>79</v>
      </c>
      <c r="I10" s="41" t="s">
        <v>9</v>
      </c>
      <c r="J10" t="s">
        <v>158</v>
      </c>
      <c r="L10" t="s">
        <v>159</v>
      </c>
      <c r="M10" t="s">
        <v>79</v>
      </c>
      <c r="N10" s="21" t="s">
        <v>11</v>
      </c>
      <c r="P10" t="s">
        <v>160</v>
      </c>
      <c r="Q10" s="23" t="s">
        <v>86</v>
      </c>
      <c r="R10" s="23" t="s">
        <v>161</v>
      </c>
      <c r="S10" s="23" t="s">
        <v>162</v>
      </c>
      <c r="U10" s="32" t="s">
        <v>163</v>
      </c>
      <c r="V10" s="32" t="s">
        <v>51</v>
      </c>
    </row>
    <row r="11" spans="2:22" x14ac:dyDescent="0.35">
      <c r="B11" s="41" t="s">
        <v>138</v>
      </c>
      <c r="C11" s="44" t="s">
        <v>164</v>
      </c>
      <c r="D11" s="43" t="s">
        <v>139</v>
      </c>
      <c r="E11" s="52">
        <v>22.163</v>
      </c>
      <c r="F11" s="42" t="str">
        <f t="shared" si="0"/>
        <v>Caibaté</v>
      </c>
      <c r="G11" s="42" t="s">
        <v>165</v>
      </c>
      <c r="H11" s="42" t="s">
        <v>79</v>
      </c>
      <c r="I11" s="44" t="s">
        <v>80</v>
      </c>
      <c r="J11" t="s">
        <v>166</v>
      </c>
      <c r="L11" t="s">
        <v>167</v>
      </c>
      <c r="M11" t="s">
        <v>79</v>
      </c>
      <c r="N11" s="16" t="s">
        <v>9</v>
      </c>
      <c r="P11" t="s">
        <v>168</v>
      </c>
      <c r="Q11" s="23" t="s">
        <v>86</v>
      </c>
      <c r="R11" s="23" t="s">
        <v>169</v>
      </c>
      <c r="S11" s="23" t="s">
        <v>170</v>
      </c>
      <c r="U11" s="32" t="s">
        <v>171</v>
      </c>
      <c r="V11" s="32" t="s">
        <v>51</v>
      </c>
    </row>
    <row r="12" spans="2:22" x14ac:dyDescent="0.35">
      <c r="B12" s="41" t="s">
        <v>138</v>
      </c>
      <c r="C12" s="44" t="s">
        <v>172</v>
      </c>
      <c r="D12" s="44" t="s">
        <v>173</v>
      </c>
      <c r="E12" s="52">
        <v>19.453669999999999</v>
      </c>
      <c r="F12" s="42" t="str">
        <f t="shared" si="0"/>
        <v>CampinadasMissões</v>
      </c>
      <c r="G12" s="42" t="s">
        <v>174</v>
      </c>
      <c r="H12" s="42" t="s">
        <v>79</v>
      </c>
      <c r="I12" s="44" t="s">
        <v>80</v>
      </c>
      <c r="J12" t="s">
        <v>175</v>
      </c>
      <c r="P12" t="s">
        <v>176</v>
      </c>
      <c r="Q12" s="23" t="s">
        <v>86</v>
      </c>
      <c r="R12" s="23" t="s">
        <v>177</v>
      </c>
      <c r="S12" s="23" t="s">
        <v>178</v>
      </c>
      <c r="U12" s="32" t="s">
        <v>179</v>
      </c>
      <c r="V12" s="32" t="s">
        <v>90</v>
      </c>
    </row>
    <row r="13" spans="2:22" x14ac:dyDescent="0.35">
      <c r="B13" s="41" t="s">
        <v>75</v>
      </c>
      <c r="C13" s="44" t="s">
        <v>180</v>
      </c>
      <c r="D13" s="44" t="s">
        <v>101</v>
      </c>
      <c r="E13" s="52">
        <v>30.831240000000001</v>
      </c>
      <c r="F13" s="42" t="str">
        <f t="shared" si="0"/>
        <v>CampoNovo</v>
      </c>
      <c r="G13" s="44" t="s">
        <v>181</v>
      </c>
      <c r="H13" s="42" t="s">
        <v>79</v>
      </c>
      <c r="I13" s="44" t="s">
        <v>80</v>
      </c>
      <c r="J13" t="s">
        <v>182</v>
      </c>
      <c r="P13" t="s">
        <v>183</v>
      </c>
      <c r="Q13" s="23" t="s">
        <v>86</v>
      </c>
      <c r="R13" s="23" t="s">
        <v>184</v>
      </c>
      <c r="S13" s="23" t="s">
        <v>185</v>
      </c>
      <c r="U13" s="32" t="s">
        <v>186</v>
      </c>
      <c r="V13" s="32" t="s">
        <v>90</v>
      </c>
    </row>
    <row r="14" spans="2:22" x14ac:dyDescent="0.35">
      <c r="B14" s="41" t="s">
        <v>138</v>
      </c>
      <c r="C14" s="44" t="s">
        <v>187</v>
      </c>
      <c r="D14" s="44" t="s">
        <v>173</v>
      </c>
      <c r="E14" s="52">
        <v>24.102460000000001</v>
      </c>
      <c r="F14" s="42" t="str">
        <f t="shared" si="0"/>
        <v>CândidoGodói</v>
      </c>
      <c r="G14" s="42" t="s">
        <v>188</v>
      </c>
      <c r="H14" s="42" t="s">
        <v>79</v>
      </c>
      <c r="I14" s="44" t="s">
        <v>80</v>
      </c>
      <c r="J14" t="s">
        <v>189</v>
      </c>
      <c r="P14" t="s">
        <v>190</v>
      </c>
      <c r="Q14" s="23" t="s">
        <v>86</v>
      </c>
      <c r="R14" s="23" t="s">
        <v>191</v>
      </c>
      <c r="S14" s="23" t="s">
        <v>192</v>
      </c>
      <c r="U14" s="32" t="s">
        <v>193</v>
      </c>
      <c r="V14" s="32" t="s">
        <v>194</v>
      </c>
    </row>
    <row r="15" spans="2:22" x14ac:dyDescent="0.35">
      <c r="B15" s="41" t="s">
        <v>138</v>
      </c>
      <c r="C15" s="44" t="s">
        <v>195</v>
      </c>
      <c r="D15" s="44" t="s">
        <v>173</v>
      </c>
      <c r="E15" s="52">
        <v>71.313279999999992</v>
      </c>
      <c r="F15" s="42" t="str">
        <f t="shared" si="0"/>
        <v>CerroLargo</v>
      </c>
      <c r="G15" s="42" t="s">
        <v>196</v>
      </c>
      <c r="H15" s="42" t="s">
        <v>79</v>
      </c>
      <c r="I15" s="44" t="s">
        <v>80</v>
      </c>
      <c r="J15" t="s">
        <v>197</v>
      </c>
      <c r="P15" t="s">
        <v>198</v>
      </c>
      <c r="Q15" s="23" t="s">
        <v>86</v>
      </c>
      <c r="R15" s="23" t="s">
        <v>199</v>
      </c>
      <c r="S15" s="23" t="s">
        <v>200</v>
      </c>
      <c r="U15" s="32" t="s">
        <v>201</v>
      </c>
      <c r="V15" s="32" t="s">
        <v>42</v>
      </c>
    </row>
    <row r="16" spans="2:22" x14ac:dyDescent="0.35">
      <c r="B16" s="41" t="s">
        <v>75</v>
      </c>
      <c r="C16" s="44" t="s">
        <v>202</v>
      </c>
      <c r="D16" s="44" t="s">
        <v>101</v>
      </c>
      <c r="E16" s="52">
        <v>24.136099999999999</v>
      </c>
      <c r="F16" s="42" t="str">
        <f t="shared" si="0"/>
        <v>Chiapetta</v>
      </c>
      <c r="G16" s="44" t="s">
        <v>203</v>
      </c>
      <c r="H16" s="42" t="s">
        <v>79</v>
      </c>
      <c r="I16" s="44" t="s">
        <v>80</v>
      </c>
      <c r="J16" t="s">
        <v>204</v>
      </c>
      <c r="P16" t="s">
        <v>205</v>
      </c>
      <c r="Q16" s="23" t="s">
        <v>86</v>
      </c>
      <c r="R16" s="23" t="s">
        <v>206</v>
      </c>
      <c r="S16" s="23" t="s">
        <v>207</v>
      </c>
      <c r="U16" s="32" t="s">
        <v>208</v>
      </c>
      <c r="V16" s="32" t="s">
        <v>42</v>
      </c>
    </row>
    <row r="17" spans="2:22" x14ac:dyDescent="0.35">
      <c r="B17" s="41" t="s">
        <v>75</v>
      </c>
      <c r="C17" s="44" t="s">
        <v>209</v>
      </c>
      <c r="D17" s="44" t="s">
        <v>101</v>
      </c>
      <c r="E17" s="52">
        <v>33.68871</v>
      </c>
      <c r="F17" s="42" t="str">
        <f t="shared" si="0"/>
        <v>CoronelBicaco</v>
      </c>
      <c r="G17" s="44" t="s">
        <v>210</v>
      </c>
      <c r="H17" s="42" t="s">
        <v>79</v>
      </c>
      <c r="I17" s="44" t="s">
        <v>80</v>
      </c>
      <c r="J17" t="s">
        <v>211</v>
      </c>
      <c r="P17" t="s">
        <v>212</v>
      </c>
      <c r="Q17" s="23" t="s">
        <v>86</v>
      </c>
      <c r="R17" s="23" t="s">
        <v>213</v>
      </c>
      <c r="S17" s="23" t="s">
        <v>214</v>
      </c>
      <c r="U17" s="32" t="s">
        <v>215</v>
      </c>
      <c r="V17" s="32" t="s">
        <v>56</v>
      </c>
    </row>
    <row r="18" spans="2:22" x14ac:dyDescent="0.35">
      <c r="B18" s="41" t="s">
        <v>75</v>
      </c>
      <c r="C18" s="44" t="s">
        <v>216</v>
      </c>
      <c r="D18" s="44" t="s">
        <v>101</v>
      </c>
      <c r="E18" s="52">
        <v>63.620980000000003</v>
      </c>
      <c r="F18" s="42" t="str">
        <f t="shared" si="0"/>
        <v>Crissiumal</v>
      </c>
      <c r="G18" s="44" t="s">
        <v>217</v>
      </c>
      <c r="H18" s="42" t="s">
        <v>79</v>
      </c>
      <c r="I18" s="44" t="s">
        <v>80</v>
      </c>
      <c r="J18" t="s">
        <v>218</v>
      </c>
      <c r="P18" t="s">
        <v>219</v>
      </c>
      <c r="Q18" s="23" t="s">
        <v>86</v>
      </c>
      <c r="R18" s="23" t="s">
        <v>220</v>
      </c>
      <c r="S18" s="23" t="s">
        <v>221</v>
      </c>
      <c r="U18" s="32" t="s">
        <v>222</v>
      </c>
      <c r="V18" s="32" t="s">
        <v>56</v>
      </c>
    </row>
    <row r="19" spans="2:22" x14ac:dyDescent="0.35">
      <c r="B19" s="41" t="s">
        <v>75</v>
      </c>
      <c r="C19" s="44" t="s">
        <v>223</v>
      </c>
      <c r="D19" s="44" t="s">
        <v>101</v>
      </c>
      <c r="E19" s="52">
        <v>13.691709999999999</v>
      </c>
      <c r="F19" s="42" t="str">
        <f t="shared" si="0"/>
        <v>Derrubadas</v>
      </c>
      <c r="G19" s="44" t="s">
        <v>224</v>
      </c>
      <c r="H19" s="42" t="s">
        <v>79</v>
      </c>
      <c r="I19" s="44" t="s">
        <v>80</v>
      </c>
      <c r="J19" t="s">
        <v>225</v>
      </c>
      <c r="P19" t="s">
        <v>226</v>
      </c>
      <c r="Q19" s="23" t="s">
        <v>86</v>
      </c>
      <c r="R19" s="23" t="s">
        <v>227</v>
      </c>
      <c r="S19" s="23" t="s">
        <v>228</v>
      </c>
      <c r="U19" s="32" t="s">
        <v>229</v>
      </c>
      <c r="V19" s="32" t="s">
        <v>38</v>
      </c>
    </row>
    <row r="20" spans="2:22" x14ac:dyDescent="0.35">
      <c r="B20" s="41" t="s">
        <v>91</v>
      </c>
      <c r="C20" s="42" t="s">
        <v>43</v>
      </c>
      <c r="D20" s="43" t="s">
        <v>157</v>
      </c>
      <c r="E20" s="52">
        <v>166.77789999999999</v>
      </c>
      <c r="F20" s="42" t="str">
        <f t="shared" si="0"/>
        <v>Dompedrito</v>
      </c>
      <c r="G20" s="42" t="s">
        <v>17</v>
      </c>
      <c r="H20" s="42" t="s">
        <v>79</v>
      </c>
      <c r="I20" s="41" t="s">
        <v>9</v>
      </c>
      <c r="J20" t="s">
        <v>230</v>
      </c>
      <c r="P20" t="s">
        <v>231</v>
      </c>
      <c r="Q20" s="23" t="s">
        <v>86</v>
      </c>
      <c r="R20" s="23" t="s">
        <v>232</v>
      </c>
      <c r="S20" s="23" t="s">
        <v>233</v>
      </c>
      <c r="U20" s="32" t="s">
        <v>234</v>
      </c>
      <c r="V20" s="32" t="s">
        <v>38</v>
      </c>
    </row>
    <row r="21" spans="2:22" x14ac:dyDescent="0.35">
      <c r="B21" s="41" t="s">
        <v>138</v>
      </c>
      <c r="C21" s="44" t="s">
        <v>235</v>
      </c>
      <c r="D21" s="44" t="s">
        <v>173</v>
      </c>
      <c r="E21" s="52">
        <v>18.735109999999999</v>
      </c>
      <c r="F21" s="42" t="str">
        <f t="shared" si="0"/>
        <v>Entre-Ijuís</v>
      </c>
      <c r="G21" s="42" t="s">
        <v>236</v>
      </c>
      <c r="H21" s="42" t="s">
        <v>79</v>
      </c>
      <c r="I21" s="44" t="s">
        <v>80</v>
      </c>
      <c r="J21" t="s">
        <v>237</v>
      </c>
      <c r="P21" t="s">
        <v>238</v>
      </c>
      <c r="Q21" s="23" t="s">
        <v>86</v>
      </c>
      <c r="R21" s="23" t="s">
        <v>239</v>
      </c>
      <c r="S21" s="23" t="s">
        <v>240</v>
      </c>
      <c r="U21" s="32" t="s">
        <v>241</v>
      </c>
      <c r="V21" s="32" t="s">
        <v>194</v>
      </c>
    </row>
    <row r="22" spans="2:22" x14ac:dyDescent="0.35">
      <c r="B22" s="41" t="s">
        <v>75</v>
      </c>
      <c r="C22" s="44" t="s">
        <v>242</v>
      </c>
      <c r="D22" s="43" t="s">
        <v>77</v>
      </c>
      <c r="E22" s="52">
        <v>46.389000000000003</v>
      </c>
      <c r="F22" s="42"/>
      <c r="G22" s="42" t="s">
        <v>243</v>
      </c>
      <c r="H22" s="42" t="s">
        <v>79</v>
      </c>
      <c r="I22" s="45" t="s">
        <v>80</v>
      </c>
      <c r="J22" t="s">
        <v>244</v>
      </c>
      <c r="P22" t="s">
        <v>245</v>
      </c>
      <c r="Q22" s="23" t="s">
        <v>86</v>
      </c>
      <c r="R22" s="23" t="s">
        <v>246</v>
      </c>
      <c r="S22" s="23" t="s">
        <v>247</v>
      </c>
      <c r="U22" s="32" t="s">
        <v>248</v>
      </c>
      <c r="V22" s="32" t="s">
        <v>51</v>
      </c>
    </row>
    <row r="23" spans="2:22" x14ac:dyDescent="0.35">
      <c r="B23" s="41" t="s">
        <v>138</v>
      </c>
      <c r="C23" s="44" t="s">
        <v>249</v>
      </c>
      <c r="D23" s="44" t="s">
        <v>173</v>
      </c>
      <c r="E23" s="52">
        <v>75.518570000000011</v>
      </c>
      <c r="F23" s="42" t="str">
        <f>SUBSTITUTE(C23, " ", "")</f>
        <v>GuaranidasMissões</v>
      </c>
      <c r="G23" s="42" t="s">
        <v>250</v>
      </c>
      <c r="H23" s="42" t="s">
        <v>79</v>
      </c>
      <c r="I23" s="44" t="s">
        <v>80</v>
      </c>
      <c r="J23" t="s">
        <v>251</v>
      </c>
      <c r="P23" t="s">
        <v>252</v>
      </c>
      <c r="Q23" s="23" t="s">
        <v>86</v>
      </c>
      <c r="R23" s="23" t="s">
        <v>253</v>
      </c>
      <c r="S23" s="23" t="s">
        <v>254</v>
      </c>
      <c r="U23" s="32" t="s">
        <v>255</v>
      </c>
      <c r="V23" s="32" t="s">
        <v>51</v>
      </c>
    </row>
    <row r="24" spans="2:22" x14ac:dyDescent="0.35">
      <c r="B24" s="41" t="s">
        <v>75</v>
      </c>
      <c r="C24" s="44" t="s">
        <v>256</v>
      </c>
      <c r="D24" s="43" t="s">
        <v>77</v>
      </c>
      <c r="E24" s="52">
        <v>36.277089999999994</v>
      </c>
      <c r="F24" s="42"/>
      <c r="G24" s="42" t="s">
        <v>257</v>
      </c>
      <c r="H24" s="42" t="s">
        <v>79</v>
      </c>
      <c r="I24" s="45" t="s">
        <v>80</v>
      </c>
      <c r="J24" t="s">
        <v>258</v>
      </c>
      <c r="P24" t="s">
        <v>259</v>
      </c>
      <c r="Q24" s="23" t="s">
        <v>86</v>
      </c>
      <c r="R24" s="23" t="s">
        <v>260</v>
      </c>
      <c r="S24" s="23" t="s">
        <v>261</v>
      </c>
      <c r="U24" s="32" t="s">
        <v>262</v>
      </c>
      <c r="V24" s="32" t="s">
        <v>51</v>
      </c>
    </row>
    <row r="25" spans="2:22" x14ac:dyDescent="0.35">
      <c r="B25" s="41" t="s">
        <v>75</v>
      </c>
      <c r="C25" s="44" t="s">
        <v>263</v>
      </c>
      <c r="D25" s="44" t="s">
        <v>101</v>
      </c>
      <c r="E25" s="52">
        <v>133.48385999999999</v>
      </c>
      <c r="F25" s="42" t="str">
        <f t="shared" ref="F25:F44" si="1">SUBSTITUTE(C25, " ", "")</f>
        <v>Humaitá</v>
      </c>
      <c r="G25" s="44" t="s">
        <v>264</v>
      </c>
      <c r="H25" s="42" t="s">
        <v>79</v>
      </c>
      <c r="I25" s="44" t="s">
        <v>80</v>
      </c>
      <c r="J25" t="s">
        <v>265</v>
      </c>
      <c r="P25" t="s">
        <v>266</v>
      </c>
      <c r="Q25" s="23" t="s">
        <v>86</v>
      </c>
      <c r="R25" s="23" t="s">
        <v>267</v>
      </c>
      <c r="S25" s="23" t="s">
        <v>268</v>
      </c>
      <c r="U25" s="32" t="s">
        <v>269</v>
      </c>
      <c r="V25" s="32" t="s">
        <v>51</v>
      </c>
    </row>
    <row r="26" spans="2:22" x14ac:dyDescent="0.35">
      <c r="B26" s="41" t="s">
        <v>75</v>
      </c>
      <c r="C26" s="44" t="s">
        <v>270</v>
      </c>
      <c r="D26" s="44" t="s">
        <v>101</v>
      </c>
      <c r="E26" s="52">
        <v>29.18122</v>
      </c>
      <c r="F26" s="42" t="str">
        <f t="shared" si="1"/>
        <v>Independência</v>
      </c>
      <c r="G26" s="44" t="s">
        <v>271</v>
      </c>
      <c r="H26" s="42" t="s">
        <v>79</v>
      </c>
      <c r="I26" s="44" t="s">
        <v>80</v>
      </c>
      <c r="J26" t="s">
        <v>272</v>
      </c>
      <c r="P26" t="s">
        <v>273</v>
      </c>
      <c r="Q26" s="23" t="s">
        <v>86</v>
      </c>
      <c r="R26" s="23" t="s">
        <v>274</v>
      </c>
      <c r="S26" s="23" t="s">
        <v>275</v>
      </c>
      <c r="U26" s="32" t="s">
        <v>276</v>
      </c>
      <c r="V26" s="32" t="s">
        <v>51</v>
      </c>
    </row>
    <row r="27" spans="2:22" x14ac:dyDescent="0.35">
      <c r="B27" s="41" t="s">
        <v>75</v>
      </c>
      <c r="C27" s="44" t="s">
        <v>277</v>
      </c>
      <c r="D27" s="44" t="s">
        <v>101</v>
      </c>
      <c r="E27" s="52">
        <v>28.606540000000003</v>
      </c>
      <c r="F27" s="42" t="str">
        <f t="shared" si="1"/>
        <v>Inhacorá</v>
      </c>
      <c r="G27" s="50" t="s">
        <v>278</v>
      </c>
      <c r="H27" s="42" t="s">
        <v>79</v>
      </c>
      <c r="I27" s="44" t="s">
        <v>80</v>
      </c>
      <c r="J27" t="s">
        <v>279</v>
      </c>
      <c r="P27" t="s">
        <v>280</v>
      </c>
      <c r="Q27" s="23" t="s">
        <v>86</v>
      </c>
      <c r="R27" s="23" t="s">
        <v>281</v>
      </c>
      <c r="S27" s="23" t="s">
        <v>282</v>
      </c>
      <c r="U27" s="32"/>
      <c r="V27" s="32"/>
    </row>
    <row r="28" spans="2:22" x14ac:dyDescent="0.35">
      <c r="B28" s="41" t="s">
        <v>91</v>
      </c>
      <c r="C28" s="42" t="s">
        <v>45</v>
      </c>
      <c r="D28" s="43" t="s">
        <v>111</v>
      </c>
      <c r="E28" s="52">
        <v>12.700520000000001</v>
      </c>
      <c r="F28" s="42" t="str">
        <f t="shared" si="1"/>
        <v>Itaqui</v>
      </c>
      <c r="G28" s="42" t="s">
        <v>19</v>
      </c>
      <c r="H28" s="42" t="s">
        <v>79</v>
      </c>
      <c r="I28" s="41" t="s">
        <v>11</v>
      </c>
      <c r="J28" t="s">
        <v>283</v>
      </c>
      <c r="P28" t="s">
        <v>284</v>
      </c>
      <c r="Q28" s="23" t="s">
        <v>86</v>
      </c>
      <c r="R28" s="23" t="s">
        <v>285</v>
      </c>
      <c r="S28" s="23" t="s">
        <v>286</v>
      </c>
      <c r="U28" s="32" t="s">
        <v>287</v>
      </c>
      <c r="V28" s="32"/>
    </row>
    <row r="29" spans="2:22" x14ac:dyDescent="0.35">
      <c r="B29" s="41" t="s">
        <v>138</v>
      </c>
      <c r="C29" s="42" t="s">
        <v>46</v>
      </c>
      <c r="D29" s="43" t="s">
        <v>139</v>
      </c>
      <c r="E29" s="52">
        <v>137.33000000000001</v>
      </c>
      <c r="F29" s="42" t="str">
        <f t="shared" si="1"/>
        <v>Jaguari</v>
      </c>
      <c r="G29" s="42" t="s">
        <v>20</v>
      </c>
      <c r="H29" s="42" t="s">
        <v>79</v>
      </c>
      <c r="I29" s="41" t="s">
        <v>9</v>
      </c>
      <c r="J29" t="s">
        <v>288</v>
      </c>
      <c r="P29" t="s">
        <v>289</v>
      </c>
      <c r="Q29" s="23" t="s">
        <v>86</v>
      </c>
      <c r="R29" s="23" t="s">
        <v>290</v>
      </c>
      <c r="S29" s="23" t="s">
        <v>291</v>
      </c>
    </row>
    <row r="30" spans="2:22" x14ac:dyDescent="0.35">
      <c r="B30" s="41" t="s">
        <v>91</v>
      </c>
      <c r="C30" s="42" t="s">
        <v>48</v>
      </c>
      <c r="D30" s="43" t="s">
        <v>111</v>
      </c>
      <c r="E30" s="52">
        <v>33.335000000000001</v>
      </c>
      <c r="F30" s="42" t="str">
        <f t="shared" si="1"/>
        <v>Maçambará</v>
      </c>
      <c r="G30" s="51" t="s">
        <v>292</v>
      </c>
      <c r="H30" s="42" t="s">
        <v>79</v>
      </c>
      <c r="I30" s="41" t="s">
        <v>11</v>
      </c>
      <c r="J30" t="s">
        <v>293</v>
      </c>
      <c r="P30" t="s">
        <v>294</v>
      </c>
      <c r="Q30" s="23" t="s">
        <v>86</v>
      </c>
      <c r="R30" s="23" t="s">
        <v>295</v>
      </c>
      <c r="S30" s="23" t="s">
        <v>296</v>
      </c>
    </row>
    <row r="31" spans="2:22" x14ac:dyDescent="0.35">
      <c r="B31" s="41" t="s">
        <v>91</v>
      </c>
      <c r="C31" s="42" t="s">
        <v>49</v>
      </c>
      <c r="D31" s="43" t="s">
        <v>92</v>
      </c>
      <c r="E31" s="52">
        <v>3.5430000000000001</v>
      </c>
      <c r="F31" s="42" t="str">
        <f t="shared" si="1"/>
        <v>ManoelViana</v>
      </c>
      <c r="G31" s="42" t="s">
        <v>23</v>
      </c>
      <c r="H31" s="42" t="s">
        <v>79</v>
      </c>
      <c r="I31" s="41" t="s">
        <v>11</v>
      </c>
      <c r="J31" t="s">
        <v>297</v>
      </c>
      <c r="L31" s="49"/>
      <c r="P31" t="s">
        <v>298</v>
      </c>
      <c r="Q31" s="23" t="s">
        <v>86</v>
      </c>
      <c r="R31" s="23" t="s">
        <v>299</v>
      </c>
      <c r="S31" s="23" t="s">
        <v>300</v>
      </c>
    </row>
    <row r="32" spans="2:22" x14ac:dyDescent="0.35">
      <c r="B32" s="41" t="s">
        <v>75</v>
      </c>
      <c r="C32" s="44" t="s">
        <v>301</v>
      </c>
      <c r="D32" s="43" t="s">
        <v>77</v>
      </c>
      <c r="E32" s="52">
        <v>30.192</v>
      </c>
      <c r="F32" s="42" t="str">
        <f t="shared" si="1"/>
        <v>Dr.MaurícioCardoso</v>
      </c>
      <c r="G32" s="42" t="s">
        <v>302</v>
      </c>
      <c r="H32" s="42" t="s">
        <v>79</v>
      </c>
      <c r="I32" s="45" t="s">
        <v>80</v>
      </c>
      <c r="J32" t="s">
        <v>303</v>
      </c>
      <c r="P32" t="s">
        <v>304</v>
      </c>
      <c r="Q32" s="23" t="s">
        <v>86</v>
      </c>
      <c r="R32" s="23" t="s">
        <v>305</v>
      </c>
      <c r="S32" s="23" t="s">
        <v>306</v>
      </c>
    </row>
    <row r="33" spans="2:19" x14ac:dyDescent="0.35">
      <c r="B33" s="41" t="s">
        <v>75</v>
      </c>
      <c r="C33" s="44" t="s">
        <v>307</v>
      </c>
      <c r="D33" s="44" t="s">
        <v>101</v>
      </c>
      <c r="E33" s="52">
        <v>37.252480000000006</v>
      </c>
      <c r="F33" s="42" t="str">
        <f t="shared" si="1"/>
        <v>Miraguaí</v>
      </c>
      <c r="G33" s="44" t="s">
        <v>308</v>
      </c>
      <c r="H33" s="42" t="s">
        <v>79</v>
      </c>
      <c r="I33" s="44" t="s">
        <v>80</v>
      </c>
      <c r="J33" t="s">
        <v>309</v>
      </c>
      <c r="P33" t="s">
        <v>310</v>
      </c>
      <c r="Q33" s="23" t="s">
        <v>86</v>
      </c>
      <c r="R33" s="23" t="s">
        <v>311</v>
      </c>
      <c r="S33" s="23" t="s">
        <v>312</v>
      </c>
    </row>
    <row r="34" spans="2:19" x14ac:dyDescent="0.35">
      <c r="B34" s="41" t="s">
        <v>138</v>
      </c>
      <c r="C34" s="42" t="s">
        <v>50</v>
      </c>
      <c r="D34" s="43" t="s">
        <v>139</v>
      </c>
      <c r="E34" s="52">
        <v>24.920999999999999</v>
      </c>
      <c r="F34" s="42" t="str">
        <f t="shared" si="1"/>
        <v>Novaesperançadosul</v>
      </c>
      <c r="G34" s="42" t="s">
        <v>313</v>
      </c>
      <c r="H34" s="42" t="s">
        <v>79</v>
      </c>
      <c r="I34" s="41" t="s">
        <v>9</v>
      </c>
      <c r="J34" t="s">
        <v>314</v>
      </c>
      <c r="P34" t="s">
        <v>315</v>
      </c>
      <c r="Q34" s="23" t="s">
        <v>86</v>
      </c>
      <c r="R34" s="23" t="s">
        <v>316</v>
      </c>
      <c r="S34" s="23" t="s">
        <v>317</v>
      </c>
    </row>
    <row r="35" spans="2:19" x14ac:dyDescent="0.35">
      <c r="B35" s="41" t="s">
        <v>138</v>
      </c>
      <c r="C35" s="44" t="s">
        <v>318</v>
      </c>
      <c r="D35" s="44" t="s">
        <v>173</v>
      </c>
      <c r="E35" s="52">
        <v>23.22682</v>
      </c>
      <c r="F35" s="42" t="str">
        <f t="shared" si="1"/>
        <v>PortoLucena</v>
      </c>
      <c r="G35" s="42" t="s">
        <v>319</v>
      </c>
      <c r="H35" s="42" t="s">
        <v>79</v>
      </c>
      <c r="I35" s="44" t="s">
        <v>80</v>
      </c>
      <c r="J35" t="s">
        <v>320</v>
      </c>
      <c r="P35" t="s">
        <v>321</v>
      </c>
      <c r="Q35" s="23" t="s">
        <v>86</v>
      </c>
      <c r="R35" s="23" t="s">
        <v>322</v>
      </c>
      <c r="S35" s="23" t="s">
        <v>323</v>
      </c>
    </row>
    <row r="36" spans="2:19" x14ac:dyDescent="0.35">
      <c r="B36" s="41" t="s">
        <v>138</v>
      </c>
      <c r="C36" s="44" t="s">
        <v>324</v>
      </c>
      <c r="D36" s="44" t="s">
        <v>173</v>
      </c>
      <c r="E36" s="52">
        <v>30.653839999999999</v>
      </c>
      <c r="F36" s="42" t="str">
        <f t="shared" si="1"/>
        <v>PortoXavier</v>
      </c>
      <c r="G36" s="42" t="s">
        <v>325</v>
      </c>
      <c r="H36" s="42" t="s">
        <v>79</v>
      </c>
      <c r="I36" s="44" t="s">
        <v>80</v>
      </c>
      <c r="J36" t="s">
        <v>326</v>
      </c>
      <c r="P36" t="s">
        <v>327</v>
      </c>
      <c r="Q36" s="23" t="s">
        <v>86</v>
      </c>
      <c r="R36" s="23" t="s">
        <v>328</v>
      </c>
      <c r="S36" s="23" t="s">
        <v>329</v>
      </c>
    </row>
    <row r="37" spans="2:19" x14ac:dyDescent="0.35">
      <c r="B37" s="41" t="s">
        <v>91</v>
      </c>
      <c r="C37" s="42" t="s">
        <v>51</v>
      </c>
      <c r="D37" s="43" t="s">
        <v>92</v>
      </c>
      <c r="E37" s="52">
        <v>73.249899999999997</v>
      </c>
      <c r="F37" s="42" t="str">
        <f t="shared" si="1"/>
        <v>Quaraí</v>
      </c>
      <c r="G37" s="42" t="s">
        <v>330</v>
      </c>
      <c r="H37" s="42" t="s">
        <v>79</v>
      </c>
      <c r="I37" s="41" t="s">
        <v>11</v>
      </c>
      <c r="J37" t="s">
        <v>331</v>
      </c>
      <c r="P37" t="s">
        <v>332</v>
      </c>
      <c r="Q37" s="23" t="s">
        <v>86</v>
      </c>
      <c r="R37" s="23" t="s">
        <v>333</v>
      </c>
      <c r="S37" s="23" t="s">
        <v>334</v>
      </c>
    </row>
    <row r="38" spans="2:19" x14ac:dyDescent="0.35">
      <c r="B38" s="41" t="s">
        <v>75</v>
      </c>
      <c r="C38" s="44" t="s">
        <v>335</v>
      </c>
      <c r="D38" s="44" t="s">
        <v>101</v>
      </c>
      <c r="E38" s="52">
        <v>22.953250000000001</v>
      </c>
      <c r="F38" s="42" t="str">
        <f t="shared" si="1"/>
        <v>Redentora</v>
      </c>
      <c r="G38" s="44" t="s">
        <v>336</v>
      </c>
      <c r="H38" s="42" t="s">
        <v>79</v>
      </c>
      <c r="I38" s="44" t="s">
        <v>80</v>
      </c>
      <c r="J38" t="s">
        <v>337</v>
      </c>
      <c r="P38" t="s">
        <v>338</v>
      </c>
      <c r="Q38" s="23" t="s">
        <v>86</v>
      </c>
      <c r="R38" s="23" t="s">
        <v>339</v>
      </c>
      <c r="S38" s="23" t="s">
        <v>340</v>
      </c>
    </row>
    <row r="39" spans="2:19" x14ac:dyDescent="0.35">
      <c r="B39" s="41" t="s">
        <v>91</v>
      </c>
      <c r="C39" s="42" t="s">
        <v>52</v>
      </c>
      <c r="D39" s="43" t="s">
        <v>157</v>
      </c>
      <c r="E39" s="52">
        <v>133</v>
      </c>
      <c r="F39" s="42" t="str">
        <f t="shared" si="1"/>
        <v>Rosáriodosul</v>
      </c>
      <c r="G39" s="42" t="s">
        <v>341</v>
      </c>
      <c r="H39" s="42" t="s">
        <v>79</v>
      </c>
      <c r="I39" s="41" t="s">
        <v>9</v>
      </c>
      <c r="J39" t="s">
        <v>342</v>
      </c>
      <c r="P39" t="s">
        <v>343</v>
      </c>
      <c r="Q39" s="23" t="s">
        <v>86</v>
      </c>
      <c r="R39" s="23" t="s">
        <v>344</v>
      </c>
      <c r="S39" s="23" t="s">
        <v>345</v>
      </c>
    </row>
    <row r="40" spans="2:19" x14ac:dyDescent="0.35">
      <c r="B40" s="41" t="s">
        <v>75</v>
      </c>
      <c r="C40" s="44" t="s">
        <v>346</v>
      </c>
      <c r="D40" s="43" t="s">
        <v>77</v>
      </c>
      <c r="E40" s="52">
        <v>424.82061099999999</v>
      </c>
      <c r="F40" s="42" t="str">
        <f t="shared" si="1"/>
        <v>SantaRosa</v>
      </c>
      <c r="G40" s="42" t="s">
        <v>347</v>
      </c>
      <c r="H40" s="42" t="s">
        <v>79</v>
      </c>
      <c r="I40" s="44" t="s">
        <v>80</v>
      </c>
      <c r="J40" t="s">
        <v>348</v>
      </c>
      <c r="P40" t="s">
        <v>349</v>
      </c>
      <c r="Q40" s="23" t="s">
        <v>86</v>
      </c>
      <c r="R40" s="23" t="s">
        <v>350</v>
      </c>
      <c r="S40" s="23" t="s">
        <v>351</v>
      </c>
    </row>
    <row r="41" spans="2:19" x14ac:dyDescent="0.35">
      <c r="B41" s="41" t="s">
        <v>138</v>
      </c>
      <c r="C41" s="42" t="s">
        <v>55</v>
      </c>
      <c r="D41" s="43" t="s">
        <v>139</v>
      </c>
      <c r="E41" s="52">
        <v>222.1</v>
      </c>
      <c r="F41" s="42" t="str">
        <f t="shared" si="1"/>
        <v>Santiago</v>
      </c>
      <c r="G41" s="42" t="s">
        <v>29</v>
      </c>
      <c r="H41" s="42" t="s">
        <v>79</v>
      </c>
      <c r="I41" s="41" t="s">
        <v>9</v>
      </c>
      <c r="J41" t="s">
        <v>352</v>
      </c>
      <c r="P41" t="s">
        <v>353</v>
      </c>
      <c r="Q41" s="23" t="s">
        <v>86</v>
      </c>
      <c r="R41" s="23" t="s">
        <v>354</v>
      </c>
      <c r="S41" s="23" t="s">
        <v>355</v>
      </c>
    </row>
    <row r="42" spans="2:19" x14ac:dyDescent="0.35">
      <c r="B42" s="41" t="s">
        <v>138</v>
      </c>
      <c r="C42" s="44" t="s">
        <v>356</v>
      </c>
      <c r="D42" s="44" t="s">
        <v>173</v>
      </c>
      <c r="E42" s="52">
        <v>343.02911</v>
      </c>
      <c r="F42" s="42" t="str">
        <f t="shared" si="1"/>
        <v>SantoÂngelo</v>
      </c>
      <c r="G42" s="42" t="s">
        <v>357</v>
      </c>
      <c r="H42" s="42" t="s">
        <v>79</v>
      </c>
      <c r="I42" s="44" t="s">
        <v>80</v>
      </c>
      <c r="J42" t="s">
        <v>358</v>
      </c>
      <c r="P42" t="s">
        <v>359</v>
      </c>
      <c r="Q42" s="23" t="s">
        <v>86</v>
      </c>
      <c r="R42" s="23" t="s">
        <v>360</v>
      </c>
      <c r="S42" s="23" t="s">
        <v>361</v>
      </c>
    </row>
    <row r="43" spans="2:19" x14ac:dyDescent="0.35">
      <c r="B43" s="41" t="s">
        <v>138</v>
      </c>
      <c r="C43" s="44" t="s">
        <v>362</v>
      </c>
      <c r="D43" s="43" t="s">
        <v>139</v>
      </c>
      <c r="E43" s="52">
        <v>38.255050000000004</v>
      </c>
      <c r="F43" s="42" t="str">
        <f t="shared" si="1"/>
        <v>SantoAntôniodasMissões</v>
      </c>
      <c r="G43" s="42" t="s">
        <v>363</v>
      </c>
      <c r="H43" s="42" t="s">
        <v>79</v>
      </c>
      <c r="I43" s="44" t="s">
        <v>80</v>
      </c>
      <c r="J43" t="s">
        <v>364</v>
      </c>
      <c r="P43" t="s">
        <v>365</v>
      </c>
      <c r="Q43" s="23" t="s">
        <v>86</v>
      </c>
      <c r="R43" s="23" t="s">
        <v>366</v>
      </c>
      <c r="S43" s="23" t="s">
        <v>21</v>
      </c>
    </row>
    <row r="44" spans="2:19" x14ac:dyDescent="0.35">
      <c r="B44" s="41" t="s">
        <v>75</v>
      </c>
      <c r="C44" s="44" t="s">
        <v>367</v>
      </c>
      <c r="D44" s="44" t="s">
        <v>101</v>
      </c>
      <c r="E44" s="52">
        <v>53.529470000000003</v>
      </c>
      <c r="F44" s="42" t="str">
        <f t="shared" si="1"/>
        <v>SantoAugusto</v>
      </c>
      <c r="G44" s="44" t="s">
        <v>368</v>
      </c>
      <c r="H44" s="42" t="s">
        <v>79</v>
      </c>
      <c r="I44" s="44" t="s">
        <v>80</v>
      </c>
      <c r="J44" t="s">
        <v>369</v>
      </c>
      <c r="P44" t="s">
        <v>370</v>
      </c>
      <c r="Q44" s="23" t="s">
        <v>86</v>
      </c>
      <c r="R44" s="23" t="s">
        <v>371</v>
      </c>
      <c r="S44" s="23" t="s">
        <v>372</v>
      </c>
    </row>
    <row r="45" spans="2:19" x14ac:dyDescent="0.35">
      <c r="B45" s="41" t="s">
        <v>75</v>
      </c>
      <c r="C45" s="44" t="s">
        <v>373</v>
      </c>
      <c r="D45" s="43" t="s">
        <v>77</v>
      </c>
      <c r="E45" s="52">
        <v>69.64537</v>
      </c>
      <c r="F45" s="42"/>
      <c r="G45" s="42" t="s">
        <v>374</v>
      </c>
      <c r="H45" s="42" t="s">
        <v>79</v>
      </c>
      <c r="I45" s="45" t="s">
        <v>80</v>
      </c>
      <c r="J45" t="s">
        <v>375</v>
      </c>
      <c r="P45" t="s">
        <v>376</v>
      </c>
      <c r="Q45" s="23" t="s">
        <v>86</v>
      </c>
      <c r="R45" s="23" t="s">
        <v>377</v>
      </c>
      <c r="S45" s="23" t="s">
        <v>378</v>
      </c>
    </row>
    <row r="46" spans="2:19" x14ac:dyDescent="0.35">
      <c r="B46" s="41" t="s">
        <v>91</v>
      </c>
      <c r="C46" s="42" t="s">
        <v>56</v>
      </c>
      <c r="D46" s="43" t="s">
        <v>111</v>
      </c>
      <c r="E46" s="52">
        <v>197.92500000000001</v>
      </c>
      <c r="F46" s="42" t="str">
        <f t="shared" ref="F46:F58" si="2">SUBSTITUTE(C46, " ", "")</f>
        <v>SãoBorja</v>
      </c>
      <c r="G46" s="42" t="s">
        <v>379</v>
      </c>
      <c r="H46" s="42" t="s">
        <v>79</v>
      </c>
      <c r="I46" s="41" t="s">
        <v>11</v>
      </c>
      <c r="J46" t="s">
        <v>380</v>
      </c>
      <c r="P46" t="s">
        <v>381</v>
      </c>
      <c r="Q46" s="23" t="s">
        <v>86</v>
      </c>
      <c r="R46" s="23" t="s">
        <v>382</v>
      </c>
      <c r="S46" s="23" t="s">
        <v>383</v>
      </c>
    </row>
    <row r="47" spans="2:19" x14ac:dyDescent="0.35">
      <c r="B47" s="41" t="s">
        <v>138</v>
      </c>
      <c r="C47" s="42" t="s">
        <v>57</v>
      </c>
      <c r="D47" s="43" t="s">
        <v>139</v>
      </c>
      <c r="E47" s="52">
        <v>83.397499999999994</v>
      </c>
      <c r="F47" s="42" t="str">
        <f t="shared" si="2"/>
        <v>SãoFranciscodeAssis</v>
      </c>
      <c r="G47" s="42" t="s">
        <v>384</v>
      </c>
      <c r="H47" s="42" t="s">
        <v>79</v>
      </c>
      <c r="I47" s="41" t="s">
        <v>9</v>
      </c>
      <c r="J47" t="s">
        <v>385</v>
      </c>
      <c r="P47" t="s">
        <v>386</v>
      </c>
      <c r="Q47" s="23" t="s">
        <v>86</v>
      </c>
      <c r="R47" s="23" t="s">
        <v>387</v>
      </c>
      <c r="S47" s="23" t="s">
        <v>388</v>
      </c>
    </row>
    <row r="48" spans="2:19" x14ac:dyDescent="0.35">
      <c r="B48" s="41" t="s">
        <v>75</v>
      </c>
      <c r="C48" s="44" t="s">
        <v>389</v>
      </c>
      <c r="D48" s="44" t="s">
        <v>101</v>
      </c>
      <c r="E48" s="52">
        <v>10.83643</v>
      </c>
      <c r="F48" s="42" t="str">
        <f t="shared" si="2"/>
        <v>SãoJosédoInhacorá</v>
      </c>
      <c r="G48" s="44" t="s">
        <v>390</v>
      </c>
      <c r="H48" s="42" t="s">
        <v>79</v>
      </c>
      <c r="I48" s="44" t="s">
        <v>80</v>
      </c>
      <c r="J48" t="s">
        <v>391</v>
      </c>
      <c r="P48" t="s">
        <v>392</v>
      </c>
      <c r="Q48" s="23" t="s">
        <v>86</v>
      </c>
      <c r="R48" s="23" t="s">
        <v>393</v>
      </c>
      <c r="S48" s="23" t="s">
        <v>394</v>
      </c>
    </row>
    <row r="49" spans="2:19" x14ac:dyDescent="0.35">
      <c r="B49" s="41" t="s">
        <v>138</v>
      </c>
      <c r="C49" s="44" t="s">
        <v>395</v>
      </c>
      <c r="D49" s="43" t="s">
        <v>139</v>
      </c>
      <c r="E49" s="52">
        <v>150.59795000000003</v>
      </c>
      <c r="F49" s="42" t="str">
        <f t="shared" si="2"/>
        <v>SãoLuizGonzaga</v>
      </c>
      <c r="G49" s="42" t="s">
        <v>396</v>
      </c>
      <c r="H49" s="42" t="s">
        <v>79</v>
      </c>
      <c r="I49" s="44" t="s">
        <v>80</v>
      </c>
      <c r="J49" t="s">
        <v>397</v>
      </c>
      <c r="P49" t="s">
        <v>398</v>
      </c>
      <c r="Q49" s="23" t="s">
        <v>86</v>
      </c>
      <c r="R49" s="23" t="s">
        <v>399</v>
      </c>
      <c r="S49" s="23" t="s">
        <v>400</v>
      </c>
    </row>
    <row r="50" spans="2:19" x14ac:dyDescent="0.35">
      <c r="B50" s="41" t="s">
        <v>75</v>
      </c>
      <c r="C50" s="44" t="s">
        <v>401</v>
      </c>
      <c r="D50" s="44" t="s">
        <v>101</v>
      </c>
      <c r="E50" s="52">
        <v>37.205849999999998</v>
      </c>
      <c r="F50" s="42" t="str">
        <f t="shared" si="2"/>
        <v>SãoMartinho</v>
      </c>
      <c r="G50" s="44" t="s">
        <v>402</v>
      </c>
      <c r="H50" s="42" t="s">
        <v>79</v>
      </c>
      <c r="I50" s="44" t="s">
        <v>80</v>
      </c>
      <c r="J50" t="s">
        <v>403</v>
      </c>
      <c r="P50" t="s">
        <v>404</v>
      </c>
      <c r="Q50" s="23" t="s">
        <v>86</v>
      </c>
      <c r="R50" s="23" t="s">
        <v>405</v>
      </c>
      <c r="S50" s="23" t="s">
        <v>406</v>
      </c>
    </row>
    <row r="51" spans="2:19" x14ac:dyDescent="0.35">
      <c r="B51" s="41" t="s">
        <v>138</v>
      </c>
      <c r="C51" s="44" t="s">
        <v>407</v>
      </c>
      <c r="D51" s="43" t="s">
        <v>139</v>
      </c>
      <c r="E51" s="52">
        <v>35.923989999999996</v>
      </c>
      <c r="F51" s="42" t="str">
        <f t="shared" si="2"/>
        <v>SãoMigueldasMissões</v>
      </c>
      <c r="G51" s="42" t="s">
        <v>408</v>
      </c>
      <c r="H51" s="42" t="s">
        <v>79</v>
      </c>
      <c r="I51" s="44" t="s">
        <v>80</v>
      </c>
      <c r="J51" t="s">
        <v>409</v>
      </c>
      <c r="P51" t="s">
        <v>410</v>
      </c>
      <c r="Q51" s="23" t="s">
        <v>86</v>
      </c>
      <c r="R51" s="23" t="s">
        <v>411</v>
      </c>
      <c r="S51" s="23" t="s">
        <v>412</v>
      </c>
    </row>
    <row r="52" spans="2:19" x14ac:dyDescent="0.35">
      <c r="B52" s="41" t="s">
        <v>138</v>
      </c>
      <c r="C52" s="44" t="s">
        <v>413</v>
      </c>
      <c r="D52" s="43" t="s">
        <v>139</v>
      </c>
      <c r="E52" s="52">
        <v>35.30903</v>
      </c>
      <c r="F52" s="42" t="str">
        <f t="shared" si="2"/>
        <v>SãoNicolau</v>
      </c>
      <c r="G52" s="42" t="s">
        <v>414</v>
      </c>
      <c r="H52" s="42" t="s">
        <v>79</v>
      </c>
      <c r="I52" s="44" t="s">
        <v>80</v>
      </c>
      <c r="J52" t="s">
        <v>415</v>
      </c>
      <c r="P52" t="s">
        <v>410</v>
      </c>
      <c r="Q52" s="23" t="s">
        <v>86</v>
      </c>
      <c r="R52" s="23" t="s">
        <v>416</v>
      </c>
      <c r="S52" s="23" t="s">
        <v>417</v>
      </c>
    </row>
    <row r="53" spans="2:19" x14ac:dyDescent="0.35">
      <c r="B53" s="41" t="s">
        <v>91</v>
      </c>
      <c r="C53" s="42" t="s">
        <v>58</v>
      </c>
      <c r="D53" s="43" t="s">
        <v>157</v>
      </c>
      <c r="E53" s="52">
        <v>43.075000000000003</v>
      </c>
      <c r="F53" s="42" t="str">
        <f t="shared" si="2"/>
        <v>Sãovicentedosul</v>
      </c>
      <c r="G53" s="42" t="s">
        <v>418</v>
      </c>
      <c r="H53" s="42" t="s">
        <v>79</v>
      </c>
      <c r="I53" s="41" t="s">
        <v>9</v>
      </c>
      <c r="J53" t="s">
        <v>419</v>
      </c>
      <c r="P53" t="s">
        <v>420</v>
      </c>
      <c r="Q53" s="23" t="s">
        <v>86</v>
      </c>
      <c r="R53" s="23" t="s">
        <v>421</v>
      </c>
      <c r="S53" s="23" t="s">
        <v>422</v>
      </c>
    </row>
    <row r="54" spans="2:19" x14ac:dyDescent="0.35">
      <c r="B54" s="41" t="s">
        <v>75</v>
      </c>
      <c r="C54" s="44" t="s">
        <v>423</v>
      </c>
      <c r="D54" s="44" t="s">
        <v>101</v>
      </c>
      <c r="E54" s="52">
        <v>15.398950000000001</v>
      </c>
      <c r="F54" s="42" t="str">
        <f t="shared" si="2"/>
        <v>SedeNova</v>
      </c>
      <c r="G54" s="44" t="s">
        <v>424</v>
      </c>
      <c r="H54" s="42" t="s">
        <v>79</v>
      </c>
      <c r="I54" s="44" t="s">
        <v>80</v>
      </c>
      <c r="J54" t="s">
        <v>425</v>
      </c>
      <c r="P54" t="s">
        <v>426</v>
      </c>
      <c r="Q54" s="23" t="s">
        <v>86</v>
      </c>
      <c r="R54" s="23" t="s">
        <v>427</v>
      </c>
      <c r="S54" s="23" t="s">
        <v>428</v>
      </c>
    </row>
    <row r="55" spans="2:19" x14ac:dyDescent="0.35">
      <c r="B55" s="41" t="s">
        <v>75</v>
      </c>
      <c r="C55" s="44" t="s">
        <v>429</v>
      </c>
      <c r="D55" s="44" t="s">
        <v>101</v>
      </c>
      <c r="E55" s="52">
        <v>75.164600000000007</v>
      </c>
      <c r="F55" s="42" t="str">
        <f t="shared" si="2"/>
        <v>TenentePortela</v>
      </c>
      <c r="G55" s="44" t="s">
        <v>430</v>
      </c>
      <c r="H55" s="42" t="s">
        <v>79</v>
      </c>
      <c r="I55" s="44" t="s">
        <v>80</v>
      </c>
      <c r="J55" t="s">
        <v>431</v>
      </c>
      <c r="P55" t="s">
        <v>432</v>
      </c>
      <c r="Q55" s="23" t="s">
        <v>86</v>
      </c>
      <c r="R55" s="23" t="s">
        <v>433</v>
      </c>
      <c r="S55" s="23" t="s">
        <v>434</v>
      </c>
    </row>
    <row r="56" spans="2:19" x14ac:dyDescent="0.35">
      <c r="B56" s="41" t="s">
        <v>75</v>
      </c>
      <c r="C56" s="44" t="s">
        <v>435</v>
      </c>
      <c r="D56" s="44" t="s">
        <v>101</v>
      </c>
      <c r="E56" s="52">
        <v>18.191599999999998</v>
      </c>
      <c r="F56" s="42" t="str">
        <f t="shared" si="2"/>
        <v>TiradentesdoSul</v>
      </c>
      <c r="G56" s="44" t="s">
        <v>436</v>
      </c>
      <c r="H56" s="42" t="s">
        <v>79</v>
      </c>
      <c r="I56" s="44" t="s">
        <v>80</v>
      </c>
      <c r="J56" t="s">
        <v>437</v>
      </c>
      <c r="P56" t="s">
        <v>438</v>
      </c>
      <c r="Q56" s="23" t="s">
        <v>86</v>
      </c>
      <c r="R56" s="23" t="s">
        <v>439</v>
      </c>
      <c r="S56" s="23" t="s">
        <v>440</v>
      </c>
    </row>
    <row r="57" spans="2:19" x14ac:dyDescent="0.35">
      <c r="B57" s="41" t="s">
        <v>75</v>
      </c>
      <c r="C57" s="44" t="s">
        <v>441</v>
      </c>
      <c r="D57" s="44" t="s">
        <v>101</v>
      </c>
      <c r="E57" s="52">
        <v>127.54730000000001</v>
      </c>
      <c r="F57" s="42" t="str">
        <f t="shared" si="2"/>
        <v>TrêsdeMaio</v>
      </c>
      <c r="G57" s="44" t="s">
        <v>442</v>
      </c>
      <c r="H57" s="42" t="s">
        <v>79</v>
      </c>
      <c r="I57" s="44" t="s">
        <v>80</v>
      </c>
      <c r="J57" t="s">
        <v>443</v>
      </c>
      <c r="P57" t="s">
        <v>444</v>
      </c>
      <c r="Q57" s="23" t="s">
        <v>86</v>
      </c>
      <c r="R57" s="23" t="s">
        <v>445</v>
      </c>
      <c r="S57" s="23" t="s">
        <v>446</v>
      </c>
    </row>
    <row r="58" spans="2:19" x14ac:dyDescent="0.35">
      <c r="B58" s="41" t="s">
        <v>75</v>
      </c>
      <c r="C58" s="44" t="s">
        <v>447</v>
      </c>
      <c r="D58" s="44" t="s">
        <v>101</v>
      </c>
      <c r="E58" s="52">
        <v>160.26429000000002</v>
      </c>
      <c r="F58" s="42" t="str">
        <f t="shared" si="2"/>
        <v>TrêsPassos</v>
      </c>
      <c r="G58" s="44" t="s">
        <v>448</v>
      </c>
      <c r="H58" s="42" t="s">
        <v>79</v>
      </c>
      <c r="I58" s="44" t="s">
        <v>80</v>
      </c>
      <c r="J58" t="s">
        <v>449</v>
      </c>
      <c r="P58" t="s">
        <v>450</v>
      </c>
      <c r="Q58" s="23" t="s">
        <v>86</v>
      </c>
      <c r="R58" s="23" t="s">
        <v>451</v>
      </c>
      <c r="S58" s="23" t="s">
        <v>452</v>
      </c>
    </row>
    <row r="59" spans="2:19" x14ac:dyDescent="0.35">
      <c r="B59" s="41" t="s">
        <v>75</v>
      </c>
      <c r="C59" s="44" t="s">
        <v>453</v>
      </c>
      <c r="D59" s="43" t="s">
        <v>77</v>
      </c>
      <c r="E59" s="52">
        <v>37.016910000000003</v>
      </c>
      <c r="F59" s="42"/>
      <c r="G59" s="42" t="s">
        <v>454</v>
      </c>
      <c r="H59" s="42" t="s">
        <v>79</v>
      </c>
      <c r="I59" s="45" t="s">
        <v>80</v>
      </c>
      <c r="J59" t="s">
        <v>455</v>
      </c>
      <c r="P59" t="s">
        <v>456</v>
      </c>
      <c r="Q59" s="23" t="s">
        <v>86</v>
      </c>
      <c r="R59" s="23" t="s">
        <v>457</v>
      </c>
      <c r="S59" s="23" t="s">
        <v>458</v>
      </c>
    </row>
    <row r="60" spans="2:19" x14ac:dyDescent="0.35">
      <c r="B60" s="41" t="s">
        <v>75</v>
      </c>
      <c r="C60" s="44" t="s">
        <v>459</v>
      </c>
      <c r="D60" s="43" t="s">
        <v>77</v>
      </c>
      <c r="E60" s="52">
        <v>52.130690000000001</v>
      </c>
      <c r="F60" s="42"/>
      <c r="G60" s="42" t="s">
        <v>460</v>
      </c>
      <c r="H60" s="42" t="s">
        <v>79</v>
      </c>
      <c r="I60" s="45" t="s">
        <v>80</v>
      </c>
      <c r="J60" t="s">
        <v>461</v>
      </c>
      <c r="P60" t="s">
        <v>462</v>
      </c>
      <c r="Q60" s="23" t="s">
        <v>86</v>
      </c>
      <c r="R60" s="23" t="s">
        <v>463</v>
      </c>
      <c r="S60" s="23" t="s">
        <v>464</v>
      </c>
    </row>
    <row r="61" spans="2:19" x14ac:dyDescent="0.35">
      <c r="B61" s="41" t="s">
        <v>138</v>
      </c>
      <c r="C61" s="42" t="s">
        <v>59</v>
      </c>
      <c r="D61" s="43" t="s">
        <v>139</v>
      </c>
      <c r="E61" s="53">
        <v>9.35</v>
      </c>
      <c r="F61" s="42" t="str">
        <f>SUBSTITUTE(C61, " ", "")</f>
        <v>Unistalda</v>
      </c>
      <c r="G61" s="43" t="s">
        <v>33</v>
      </c>
      <c r="H61" s="42" t="s">
        <v>79</v>
      </c>
      <c r="I61" s="41" t="s">
        <v>9</v>
      </c>
      <c r="J61" t="s">
        <v>465</v>
      </c>
      <c r="P61" t="s">
        <v>466</v>
      </c>
      <c r="Q61" s="23" t="s">
        <v>86</v>
      </c>
      <c r="R61" s="23" t="s">
        <v>467</v>
      </c>
      <c r="S61" s="23" t="s">
        <v>468</v>
      </c>
    </row>
    <row r="62" spans="2:19" x14ac:dyDescent="0.35">
      <c r="B62" s="41" t="s">
        <v>75</v>
      </c>
      <c r="C62" s="44" t="s">
        <v>469</v>
      </c>
      <c r="D62" s="44" t="s">
        <v>101</v>
      </c>
      <c r="E62" s="52">
        <v>10.4908</v>
      </c>
      <c r="F62" s="42"/>
      <c r="G62" s="44" t="s">
        <v>470</v>
      </c>
      <c r="H62" s="42" t="s">
        <v>79</v>
      </c>
      <c r="I62" s="44" t="s">
        <v>80</v>
      </c>
      <c r="J62" t="s">
        <v>471</v>
      </c>
      <c r="P62" t="s">
        <v>472</v>
      </c>
      <c r="Q62" s="23" t="s">
        <v>86</v>
      </c>
      <c r="R62" s="23" t="s">
        <v>473</v>
      </c>
      <c r="S62" s="23" t="s">
        <v>27</v>
      </c>
    </row>
    <row r="63" spans="2:19" x14ac:dyDescent="0.35">
      <c r="P63" t="s">
        <v>474</v>
      </c>
      <c r="Q63" s="23" t="s">
        <v>86</v>
      </c>
      <c r="R63" s="23" t="s">
        <v>475</v>
      </c>
      <c r="S63" s="23" t="s">
        <v>476</v>
      </c>
    </row>
    <row r="64" spans="2:19" x14ac:dyDescent="0.35">
      <c r="P64" t="s">
        <v>477</v>
      </c>
      <c r="Q64" s="23" t="s">
        <v>86</v>
      </c>
      <c r="R64" s="23" t="s">
        <v>478</v>
      </c>
      <c r="S64" s="23" t="s">
        <v>28</v>
      </c>
    </row>
    <row r="65" spans="16:19" x14ac:dyDescent="0.35">
      <c r="P65" t="s">
        <v>479</v>
      </c>
      <c r="Q65" s="23" t="s">
        <v>86</v>
      </c>
      <c r="R65" s="23" t="s">
        <v>480</v>
      </c>
      <c r="S65" s="23" t="s">
        <v>481</v>
      </c>
    </row>
    <row r="66" spans="16:19" x14ac:dyDescent="0.35">
      <c r="P66" t="s">
        <v>420</v>
      </c>
      <c r="Q66" s="23" t="s">
        <v>86</v>
      </c>
      <c r="R66" s="23" t="s">
        <v>482</v>
      </c>
      <c r="S66" s="23" t="s">
        <v>483</v>
      </c>
    </row>
    <row r="67" spans="16:19" x14ac:dyDescent="0.35">
      <c r="P67" t="s">
        <v>484</v>
      </c>
      <c r="Q67" s="23" t="s">
        <v>86</v>
      </c>
      <c r="R67" s="23" t="s">
        <v>485</v>
      </c>
      <c r="S67" s="23" t="s">
        <v>486</v>
      </c>
    </row>
    <row r="68" spans="16:19" x14ac:dyDescent="0.35">
      <c r="P68" t="s">
        <v>487</v>
      </c>
      <c r="Q68" s="23" t="s">
        <v>86</v>
      </c>
      <c r="R68" s="23" t="s">
        <v>488</v>
      </c>
      <c r="S68" s="23" t="s">
        <v>489</v>
      </c>
    </row>
    <row r="69" spans="16:19" x14ac:dyDescent="0.35">
      <c r="P69" t="s">
        <v>490</v>
      </c>
      <c r="Q69" s="23" t="s">
        <v>86</v>
      </c>
      <c r="R69" s="23" t="s">
        <v>491</v>
      </c>
      <c r="S69" s="23" t="s">
        <v>492</v>
      </c>
    </row>
    <row r="70" spans="16:19" x14ac:dyDescent="0.35">
      <c r="P70" t="s">
        <v>493</v>
      </c>
      <c r="Q70" s="23" t="s">
        <v>86</v>
      </c>
      <c r="R70" s="23" t="s">
        <v>494</v>
      </c>
      <c r="S70" s="23" t="s">
        <v>495</v>
      </c>
    </row>
    <row r="71" spans="16:19" x14ac:dyDescent="0.35">
      <c r="P71" t="s">
        <v>493</v>
      </c>
      <c r="Q71" s="23" t="s">
        <v>86</v>
      </c>
      <c r="R71" s="23" t="s">
        <v>496</v>
      </c>
      <c r="S71" s="23" t="s">
        <v>497</v>
      </c>
    </row>
    <row r="72" spans="16:19" x14ac:dyDescent="0.35">
      <c r="P72" t="s">
        <v>498</v>
      </c>
      <c r="Q72" s="23" t="s">
        <v>86</v>
      </c>
      <c r="R72" s="23" t="s">
        <v>499</v>
      </c>
      <c r="S72" s="23" t="s">
        <v>500</v>
      </c>
    </row>
    <row r="73" spans="16:19" x14ac:dyDescent="0.35">
      <c r="P73" t="s">
        <v>501</v>
      </c>
      <c r="Q73" s="23" t="s">
        <v>86</v>
      </c>
      <c r="R73" s="23" t="s">
        <v>502</v>
      </c>
      <c r="S73" s="23" t="s">
        <v>503</v>
      </c>
    </row>
    <row r="74" spans="16:19" x14ac:dyDescent="0.35">
      <c r="P74" t="s">
        <v>504</v>
      </c>
      <c r="Q74" s="23" t="s">
        <v>86</v>
      </c>
      <c r="R74" s="23" t="s">
        <v>505</v>
      </c>
      <c r="S74" s="23" t="s">
        <v>506</v>
      </c>
    </row>
    <row r="75" spans="16:19" x14ac:dyDescent="0.35">
      <c r="P75" t="s">
        <v>507</v>
      </c>
      <c r="Q75" s="23" t="s">
        <v>86</v>
      </c>
      <c r="R75" s="23" t="s">
        <v>508</v>
      </c>
      <c r="S75" s="23" t="s">
        <v>509</v>
      </c>
    </row>
    <row r="76" spans="16:19" x14ac:dyDescent="0.35">
      <c r="P76" t="s">
        <v>510</v>
      </c>
      <c r="Q76" s="23" t="s">
        <v>86</v>
      </c>
      <c r="R76" s="23" t="s">
        <v>511</v>
      </c>
      <c r="S76" s="23" t="s">
        <v>512</v>
      </c>
    </row>
    <row r="77" spans="16:19" x14ac:dyDescent="0.35">
      <c r="P77" t="s">
        <v>513</v>
      </c>
      <c r="Q77" s="23" t="s">
        <v>86</v>
      </c>
      <c r="R77" s="23" t="s">
        <v>514</v>
      </c>
      <c r="S77" s="23" t="s">
        <v>515</v>
      </c>
    </row>
    <row r="78" spans="16:19" x14ac:dyDescent="0.35">
      <c r="P78" t="s">
        <v>516</v>
      </c>
      <c r="Q78" s="23" t="s">
        <v>517</v>
      </c>
      <c r="R78" s="23" t="s">
        <v>518</v>
      </c>
      <c r="S78" s="23" t="s">
        <v>519</v>
      </c>
    </row>
    <row r="79" spans="16:19" x14ac:dyDescent="0.35">
      <c r="P79" t="s">
        <v>520</v>
      </c>
      <c r="Q79" s="23" t="s">
        <v>517</v>
      </c>
      <c r="R79" s="23" t="s">
        <v>521</v>
      </c>
      <c r="S79" s="23" t="s">
        <v>522</v>
      </c>
    </row>
    <row r="80" spans="16:19" x14ac:dyDescent="0.35">
      <c r="P80" t="s">
        <v>523</v>
      </c>
      <c r="Q80" s="23" t="s">
        <v>517</v>
      </c>
      <c r="R80" s="23" t="s">
        <v>524</v>
      </c>
      <c r="S80" s="23" t="s">
        <v>525</v>
      </c>
    </row>
    <row r="81" spans="16:19" x14ac:dyDescent="0.35">
      <c r="P81" t="s">
        <v>526</v>
      </c>
      <c r="Q81" s="23" t="s">
        <v>517</v>
      </c>
      <c r="R81" s="23" t="s">
        <v>527</v>
      </c>
      <c r="S81" s="23" t="s">
        <v>528</v>
      </c>
    </row>
    <row r="82" spans="16:19" x14ac:dyDescent="0.35">
      <c r="P82" t="s">
        <v>529</v>
      </c>
      <c r="Q82" s="23" t="s">
        <v>517</v>
      </c>
      <c r="R82" s="23" t="s">
        <v>530</v>
      </c>
      <c r="S82" s="23" t="s">
        <v>531</v>
      </c>
    </row>
    <row r="83" spans="16:19" x14ac:dyDescent="0.35">
      <c r="P83" t="s">
        <v>532</v>
      </c>
      <c r="Q83" s="23" t="s">
        <v>517</v>
      </c>
      <c r="R83" s="23" t="s">
        <v>533</v>
      </c>
      <c r="S83" s="23" t="s">
        <v>534</v>
      </c>
    </row>
    <row r="84" spans="16:19" x14ac:dyDescent="0.35">
      <c r="P84" t="s">
        <v>535</v>
      </c>
      <c r="Q84" s="23" t="s">
        <v>517</v>
      </c>
      <c r="R84" s="23" t="s">
        <v>536</v>
      </c>
      <c r="S84" s="23" t="s">
        <v>537</v>
      </c>
    </row>
    <row r="85" spans="16:19" x14ac:dyDescent="0.35">
      <c r="P85" t="s">
        <v>538</v>
      </c>
      <c r="Q85" s="23" t="s">
        <v>517</v>
      </c>
      <c r="R85" s="23" t="s">
        <v>539</v>
      </c>
      <c r="S85" s="23" t="s">
        <v>540</v>
      </c>
    </row>
    <row r="86" spans="16:19" x14ac:dyDescent="0.35">
      <c r="P86" t="s">
        <v>541</v>
      </c>
      <c r="Q86" s="23" t="s">
        <v>517</v>
      </c>
      <c r="R86" s="23" t="s">
        <v>542</v>
      </c>
      <c r="S86" s="23" t="s">
        <v>543</v>
      </c>
    </row>
    <row r="87" spans="16:19" x14ac:dyDescent="0.35">
      <c r="P87" t="s">
        <v>544</v>
      </c>
      <c r="Q87" s="23" t="s">
        <v>517</v>
      </c>
      <c r="R87" s="23" t="s">
        <v>545</v>
      </c>
      <c r="S87" s="23" t="s">
        <v>546</v>
      </c>
    </row>
    <row r="88" spans="16:19" x14ac:dyDescent="0.35">
      <c r="P88" t="s">
        <v>529</v>
      </c>
      <c r="Q88" s="23" t="s">
        <v>517</v>
      </c>
      <c r="R88" s="23" t="s">
        <v>547</v>
      </c>
      <c r="S88" s="23" t="s">
        <v>548</v>
      </c>
    </row>
    <row r="89" spans="16:19" x14ac:dyDescent="0.35">
      <c r="P89" t="s">
        <v>549</v>
      </c>
      <c r="Q89" s="23" t="s">
        <v>517</v>
      </c>
      <c r="R89" s="23" t="s">
        <v>550</v>
      </c>
      <c r="S89" s="23" t="s">
        <v>551</v>
      </c>
    </row>
    <row r="90" spans="16:19" x14ac:dyDescent="0.35">
      <c r="P90" t="s">
        <v>552</v>
      </c>
      <c r="Q90" s="23" t="s">
        <v>517</v>
      </c>
      <c r="R90" s="23" t="s">
        <v>553</v>
      </c>
      <c r="S90" s="23" t="s">
        <v>554</v>
      </c>
    </row>
    <row r="91" spans="16:19" x14ac:dyDescent="0.35">
      <c r="P91" t="s">
        <v>555</v>
      </c>
      <c r="Q91" s="23" t="s">
        <v>517</v>
      </c>
      <c r="R91" s="23" t="s">
        <v>556</v>
      </c>
      <c r="S91" s="23" t="s">
        <v>557</v>
      </c>
    </row>
    <row r="92" spans="16:19" x14ac:dyDescent="0.35">
      <c r="P92" t="s">
        <v>532</v>
      </c>
      <c r="Q92" s="23" t="s">
        <v>517</v>
      </c>
      <c r="R92" s="23" t="s">
        <v>558</v>
      </c>
      <c r="S92" s="23" t="s">
        <v>559</v>
      </c>
    </row>
    <row r="93" spans="16:19" x14ac:dyDescent="0.35">
      <c r="P93" t="s">
        <v>560</v>
      </c>
      <c r="Q93" s="23" t="s">
        <v>517</v>
      </c>
      <c r="R93" s="23" t="s">
        <v>561</v>
      </c>
      <c r="S93" s="23" t="s">
        <v>562</v>
      </c>
    </row>
    <row r="94" spans="16:19" x14ac:dyDescent="0.35">
      <c r="P94" t="s">
        <v>563</v>
      </c>
      <c r="Q94" s="23" t="s">
        <v>517</v>
      </c>
      <c r="R94" s="23" t="s">
        <v>564</v>
      </c>
      <c r="S94" s="23" t="s">
        <v>565</v>
      </c>
    </row>
    <row r="95" spans="16:19" x14ac:dyDescent="0.35">
      <c r="P95" t="s">
        <v>566</v>
      </c>
      <c r="Q95" s="23" t="s">
        <v>517</v>
      </c>
      <c r="R95" s="23" t="s">
        <v>567</v>
      </c>
      <c r="S95" s="23" t="s">
        <v>568</v>
      </c>
    </row>
    <row r="96" spans="16:19" x14ac:dyDescent="0.35">
      <c r="P96" t="s">
        <v>569</v>
      </c>
      <c r="Q96" s="23" t="s">
        <v>517</v>
      </c>
      <c r="R96" s="23" t="s">
        <v>570</v>
      </c>
      <c r="S96" s="23" t="s">
        <v>571</v>
      </c>
    </row>
    <row r="97" spans="16:19" x14ac:dyDescent="0.35">
      <c r="P97" t="s">
        <v>572</v>
      </c>
      <c r="Q97" s="23" t="s">
        <v>517</v>
      </c>
      <c r="R97" s="23" t="s">
        <v>573</v>
      </c>
      <c r="S97" s="23" t="s">
        <v>574</v>
      </c>
    </row>
    <row r="98" spans="16:19" x14ac:dyDescent="0.35">
      <c r="P98" t="s">
        <v>575</v>
      </c>
      <c r="Q98" s="23" t="s">
        <v>517</v>
      </c>
      <c r="R98" s="23" t="s">
        <v>576</v>
      </c>
      <c r="S98" s="18" t="s">
        <v>577</v>
      </c>
    </row>
    <row r="99" spans="16:19" x14ac:dyDescent="0.35">
      <c r="P99" t="s">
        <v>578</v>
      </c>
      <c r="Q99" s="23" t="s">
        <v>517</v>
      </c>
      <c r="R99" s="23" t="s">
        <v>579</v>
      </c>
      <c r="S99" s="23" t="s">
        <v>580</v>
      </c>
    </row>
    <row r="100" spans="16:19" x14ac:dyDescent="0.35">
      <c r="P100" t="s">
        <v>581</v>
      </c>
      <c r="Q100" s="23" t="s">
        <v>517</v>
      </c>
      <c r="R100" s="23" t="s">
        <v>582</v>
      </c>
      <c r="S100" s="23" t="s">
        <v>583</v>
      </c>
    </row>
    <row r="101" spans="16:19" x14ac:dyDescent="0.35">
      <c r="P101" t="s">
        <v>584</v>
      </c>
      <c r="Q101" s="23" t="s">
        <v>517</v>
      </c>
      <c r="R101" s="23" t="s">
        <v>585</v>
      </c>
      <c r="S101" s="23" t="s">
        <v>586</v>
      </c>
    </row>
    <row r="102" spans="16:19" x14ac:dyDescent="0.35">
      <c r="Q102" s="23" t="s">
        <v>517</v>
      </c>
      <c r="R102" s="23" t="s">
        <v>587</v>
      </c>
      <c r="S102" s="23" t="s">
        <v>588</v>
      </c>
    </row>
    <row r="103" spans="16:19" x14ac:dyDescent="0.35">
      <c r="P103" t="s">
        <v>589</v>
      </c>
      <c r="Q103" s="23" t="s">
        <v>517</v>
      </c>
      <c r="R103" s="23" t="s">
        <v>590</v>
      </c>
      <c r="S103" s="23" t="s">
        <v>591</v>
      </c>
    </row>
    <row r="104" spans="16:19" x14ac:dyDescent="0.35">
      <c r="P104" t="s">
        <v>592</v>
      </c>
      <c r="Q104" s="23" t="s">
        <v>593</v>
      </c>
      <c r="R104" s="23" t="s">
        <v>594</v>
      </c>
      <c r="S104" s="23" t="s">
        <v>595</v>
      </c>
    </row>
    <row r="105" spans="16:19" x14ac:dyDescent="0.35">
      <c r="P105" t="s">
        <v>516</v>
      </c>
      <c r="Q105" s="23" t="s">
        <v>593</v>
      </c>
      <c r="R105" s="23" t="s">
        <v>596</v>
      </c>
      <c r="S105" s="23" t="s">
        <v>597</v>
      </c>
    </row>
    <row r="106" spans="16:19" x14ac:dyDescent="0.35">
      <c r="P106" t="s">
        <v>598</v>
      </c>
      <c r="Q106" s="23" t="s">
        <v>593</v>
      </c>
      <c r="R106" s="23" t="s">
        <v>599</v>
      </c>
      <c r="S106" s="23" t="s">
        <v>600</v>
      </c>
    </row>
    <row r="107" spans="16:19" x14ac:dyDescent="0.35">
      <c r="P107" t="s">
        <v>601</v>
      </c>
      <c r="Q107" s="23" t="s">
        <v>593</v>
      </c>
      <c r="R107" s="23" t="s">
        <v>602</v>
      </c>
      <c r="S107" s="23" t="s">
        <v>603</v>
      </c>
    </row>
    <row r="108" spans="16:19" x14ac:dyDescent="0.35">
      <c r="P108" t="s">
        <v>604</v>
      </c>
      <c r="Q108" s="23" t="s">
        <v>593</v>
      </c>
      <c r="R108" s="23" t="s">
        <v>605</v>
      </c>
      <c r="S108" s="23" t="s">
        <v>606</v>
      </c>
    </row>
    <row r="109" spans="16:19" x14ac:dyDescent="0.35">
      <c r="P109" t="s">
        <v>607</v>
      </c>
      <c r="Q109" s="23" t="s">
        <v>593</v>
      </c>
      <c r="R109" s="23" t="s">
        <v>608</v>
      </c>
      <c r="S109" s="23" t="s">
        <v>609</v>
      </c>
    </row>
    <row r="110" spans="16:19" x14ac:dyDescent="0.35">
      <c r="P110" t="s">
        <v>610</v>
      </c>
      <c r="Q110" s="23" t="s">
        <v>593</v>
      </c>
      <c r="R110" s="23" t="s">
        <v>611</v>
      </c>
      <c r="S110" s="23" t="s">
        <v>612</v>
      </c>
    </row>
    <row r="111" spans="16:19" x14ac:dyDescent="0.35">
      <c r="P111" t="s">
        <v>613</v>
      </c>
      <c r="Q111" s="23" t="s">
        <v>593</v>
      </c>
      <c r="R111" s="23" t="s">
        <v>614</v>
      </c>
      <c r="S111" s="23" t="s">
        <v>615</v>
      </c>
    </row>
    <row r="112" spans="16:19" x14ac:dyDescent="0.35">
      <c r="P112" t="s">
        <v>616</v>
      </c>
      <c r="Q112" s="23" t="s">
        <v>593</v>
      </c>
      <c r="R112" s="23" t="s">
        <v>617</v>
      </c>
      <c r="S112" s="23" t="s">
        <v>618</v>
      </c>
    </row>
    <row r="113" spans="16:19" x14ac:dyDescent="0.35">
      <c r="P113" t="s">
        <v>619</v>
      </c>
      <c r="Q113" s="23" t="s">
        <v>593</v>
      </c>
      <c r="R113" s="23" t="s">
        <v>620</v>
      </c>
      <c r="S113" s="23" t="s">
        <v>621</v>
      </c>
    </row>
    <row r="114" spans="16:19" x14ac:dyDescent="0.35">
      <c r="P114" t="s">
        <v>622</v>
      </c>
      <c r="Q114" s="23" t="s">
        <v>593</v>
      </c>
      <c r="R114" s="23" t="s">
        <v>623</v>
      </c>
      <c r="S114" s="23" t="s">
        <v>624</v>
      </c>
    </row>
    <row r="115" spans="16:19" x14ac:dyDescent="0.35">
      <c r="P115" t="s">
        <v>625</v>
      </c>
      <c r="Q115" s="23" t="s">
        <v>593</v>
      </c>
      <c r="R115" s="23" t="s">
        <v>626</v>
      </c>
      <c r="S115" s="23" t="s">
        <v>627</v>
      </c>
    </row>
    <row r="116" spans="16:19" x14ac:dyDescent="0.35">
      <c r="P116" t="s">
        <v>628</v>
      </c>
      <c r="Q116" s="23" t="s">
        <v>593</v>
      </c>
      <c r="R116" s="23" t="s">
        <v>629</v>
      </c>
      <c r="S116" s="23" t="s">
        <v>630</v>
      </c>
    </row>
    <row r="117" spans="16:19" x14ac:dyDescent="0.35">
      <c r="P117" t="s">
        <v>631</v>
      </c>
      <c r="Q117" s="23" t="s">
        <v>593</v>
      </c>
      <c r="R117" s="23" t="s">
        <v>632</v>
      </c>
      <c r="S117" s="23" t="s">
        <v>633</v>
      </c>
    </row>
    <row r="118" spans="16:19" x14ac:dyDescent="0.35">
      <c r="P118" t="s">
        <v>398</v>
      </c>
      <c r="Q118" s="23" t="s">
        <v>593</v>
      </c>
      <c r="R118" s="23" t="s">
        <v>634</v>
      </c>
      <c r="S118" s="23" t="s">
        <v>635</v>
      </c>
    </row>
    <row r="119" spans="16:19" x14ac:dyDescent="0.35">
      <c r="P119" t="s">
        <v>636</v>
      </c>
      <c r="Q119" s="23" t="s">
        <v>593</v>
      </c>
      <c r="R119" s="23" t="s">
        <v>637</v>
      </c>
      <c r="S119" s="23" t="s">
        <v>638</v>
      </c>
    </row>
    <row r="120" spans="16:19" x14ac:dyDescent="0.35">
      <c r="P120" t="s">
        <v>639</v>
      </c>
      <c r="Q120" s="23" t="s">
        <v>593</v>
      </c>
      <c r="R120" s="23" t="s">
        <v>640</v>
      </c>
      <c r="S120" s="23" t="s">
        <v>641</v>
      </c>
    </row>
    <row r="121" spans="16:19" x14ac:dyDescent="0.35">
      <c r="P121" t="s">
        <v>642</v>
      </c>
      <c r="Q121" s="23" t="s">
        <v>593</v>
      </c>
      <c r="R121" s="23" t="s">
        <v>643</v>
      </c>
      <c r="S121" s="23" t="s">
        <v>644</v>
      </c>
    </row>
    <row r="122" spans="16:19" x14ac:dyDescent="0.35">
      <c r="P122" t="s">
        <v>645</v>
      </c>
      <c r="Q122" s="23" t="s">
        <v>593</v>
      </c>
      <c r="R122" s="23" t="s">
        <v>646</v>
      </c>
      <c r="S122" s="23" t="s">
        <v>647</v>
      </c>
    </row>
    <row r="123" spans="16:19" x14ac:dyDescent="0.35">
      <c r="P123" t="s">
        <v>648</v>
      </c>
      <c r="Q123" s="23" t="s">
        <v>593</v>
      </c>
      <c r="R123" s="23" t="s">
        <v>649</v>
      </c>
      <c r="S123" s="23" t="s">
        <v>650</v>
      </c>
    </row>
    <row r="124" spans="16:19" x14ac:dyDescent="0.35">
      <c r="P124" t="s">
        <v>651</v>
      </c>
      <c r="Q124" s="23" t="s">
        <v>593</v>
      </c>
      <c r="R124" s="23" t="s">
        <v>652</v>
      </c>
      <c r="S124" s="23" t="s">
        <v>653</v>
      </c>
    </row>
    <row r="125" spans="16:19" x14ac:dyDescent="0.35">
      <c r="P125" t="s">
        <v>294</v>
      </c>
      <c r="Q125" s="23" t="s">
        <v>593</v>
      </c>
      <c r="R125" s="23" t="s">
        <v>654</v>
      </c>
      <c r="S125" s="23" t="s">
        <v>655</v>
      </c>
    </row>
    <row r="126" spans="16:19" x14ac:dyDescent="0.35">
      <c r="P126" t="s">
        <v>656</v>
      </c>
      <c r="Q126" s="23" t="s">
        <v>593</v>
      </c>
      <c r="R126" s="23" t="s">
        <v>657</v>
      </c>
      <c r="S126" s="23" t="s">
        <v>658</v>
      </c>
    </row>
    <row r="127" spans="16:19" x14ac:dyDescent="0.35">
      <c r="P127" t="s">
        <v>659</v>
      </c>
      <c r="Q127" s="23" t="s">
        <v>593</v>
      </c>
      <c r="R127" s="23" t="s">
        <v>660</v>
      </c>
      <c r="S127" s="23" t="s">
        <v>661</v>
      </c>
    </row>
    <row r="128" spans="16:19" x14ac:dyDescent="0.35">
      <c r="P128" t="s">
        <v>662</v>
      </c>
      <c r="Q128" s="23" t="s">
        <v>593</v>
      </c>
      <c r="R128" s="23" t="s">
        <v>663</v>
      </c>
      <c r="S128" s="23" t="s">
        <v>664</v>
      </c>
    </row>
    <row r="129" spans="16:19" x14ac:dyDescent="0.35">
      <c r="P129" t="s">
        <v>665</v>
      </c>
      <c r="Q129" s="23" t="s">
        <v>593</v>
      </c>
      <c r="R129" s="23" t="s">
        <v>666</v>
      </c>
      <c r="S129" s="23" t="s">
        <v>667</v>
      </c>
    </row>
    <row r="130" spans="16:19" x14ac:dyDescent="0.35">
      <c r="P130" t="s">
        <v>668</v>
      </c>
      <c r="Q130" s="23" t="s">
        <v>593</v>
      </c>
      <c r="R130" s="23" t="s">
        <v>669</v>
      </c>
      <c r="S130" s="23" t="s">
        <v>670</v>
      </c>
    </row>
    <row r="131" spans="16:19" x14ac:dyDescent="0.35">
      <c r="P131" t="s">
        <v>544</v>
      </c>
      <c r="Q131" s="23" t="s">
        <v>593</v>
      </c>
      <c r="R131" s="23" t="s">
        <v>671</v>
      </c>
      <c r="S131" s="23" t="s">
        <v>672</v>
      </c>
    </row>
    <row r="132" spans="16:19" x14ac:dyDescent="0.35">
      <c r="P132" t="s">
        <v>544</v>
      </c>
      <c r="Q132" s="23" t="s">
        <v>593</v>
      </c>
      <c r="R132" s="23" t="s">
        <v>673</v>
      </c>
      <c r="S132" s="23" t="s">
        <v>674</v>
      </c>
    </row>
    <row r="133" spans="16:19" x14ac:dyDescent="0.35">
      <c r="P133" t="s">
        <v>544</v>
      </c>
      <c r="Q133" s="23" t="s">
        <v>593</v>
      </c>
      <c r="R133" s="23" t="s">
        <v>675</v>
      </c>
      <c r="S133" s="23" t="s">
        <v>676</v>
      </c>
    </row>
    <row r="134" spans="16:19" x14ac:dyDescent="0.35">
      <c r="P134" t="s">
        <v>544</v>
      </c>
      <c r="Q134" s="23" t="s">
        <v>593</v>
      </c>
      <c r="R134" s="23" t="s">
        <v>677</v>
      </c>
      <c r="S134" s="23" t="s">
        <v>678</v>
      </c>
    </row>
    <row r="135" spans="16:19" x14ac:dyDescent="0.35">
      <c r="P135" t="s">
        <v>679</v>
      </c>
      <c r="Q135" s="23" t="s">
        <v>593</v>
      </c>
      <c r="R135" s="23" t="s">
        <v>680</v>
      </c>
      <c r="S135" s="23" t="s">
        <v>681</v>
      </c>
    </row>
    <row r="136" spans="16:19" x14ac:dyDescent="0.35">
      <c r="P136" t="s">
        <v>682</v>
      </c>
      <c r="Q136" s="23" t="s">
        <v>593</v>
      </c>
      <c r="R136" s="23" t="s">
        <v>683</v>
      </c>
      <c r="S136" s="23" t="s">
        <v>684</v>
      </c>
    </row>
    <row r="137" spans="16:19" x14ac:dyDescent="0.35">
      <c r="P137" t="s">
        <v>685</v>
      </c>
      <c r="Q137" s="23" t="s">
        <v>593</v>
      </c>
      <c r="R137" s="23" t="s">
        <v>686</v>
      </c>
      <c r="S137" s="23" t="s">
        <v>687</v>
      </c>
    </row>
    <row r="138" spans="16:19" x14ac:dyDescent="0.35">
      <c r="P138" t="s">
        <v>294</v>
      </c>
      <c r="Q138" s="23" t="s">
        <v>593</v>
      </c>
      <c r="R138" s="23" t="s">
        <v>688</v>
      </c>
      <c r="S138" s="23" t="s">
        <v>689</v>
      </c>
    </row>
    <row r="139" spans="16:19" x14ac:dyDescent="0.35">
      <c r="P139" t="s">
        <v>294</v>
      </c>
      <c r="Q139" s="23" t="s">
        <v>593</v>
      </c>
      <c r="R139" s="23" t="s">
        <v>690</v>
      </c>
      <c r="S139" s="23" t="s">
        <v>691</v>
      </c>
    </row>
    <row r="140" spans="16:19" x14ac:dyDescent="0.35">
      <c r="P140" t="s">
        <v>294</v>
      </c>
      <c r="Q140" s="23" t="s">
        <v>593</v>
      </c>
      <c r="R140" s="23" t="s">
        <v>692</v>
      </c>
      <c r="S140" s="23" t="s">
        <v>693</v>
      </c>
    </row>
    <row r="141" spans="16:19" x14ac:dyDescent="0.35">
      <c r="P141" t="s">
        <v>294</v>
      </c>
      <c r="Q141" s="23" t="s">
        <v>593</v>
      </c>
      <c r="R141" s="23" t="s">
        <v>694</v>
      </c>
      <c r="S141" s="23" t="s">
        <v>695</v>
      </c>
    </row>
    <row r="142" spans="16:19" x14ac:dyDescent="0.35">
      <c r="P142" t="s">
        <v>294</v>
      </c>
      <c r="Q142" s="23" t="s">
        <v>593</v>
      </c>
      <c r="R142" s="23" t="s">
        <v>696</v>
      </c>
      <c r="S142" s="23" t="s">
        <v>697</v>
      </c>
    </row>
    <row r="143" spans="16:19" x14ac:dyDescent="0.35">
      <c r="P143" t="s">
        <v>698</v>
      </c>
      <c r="Q143" s="23" t="s">
        <v>593</v>
      </c>
      <c r="R143" s="23" t="s">
        <v>699</v>
      </c>
      <c r="S143" s="23" t="s">
        <v>700</v>
      </c>
    </row>
    <row r="144" spans="16:19" x14ac:dyDescent="0.35">
      <c r="P144" t="s">
        <v>701</v>
      </c>
      <c r="Q144" s="23" t="s">
        <v>593</v>
      </c>
      <c r="R144" s="23" t="s">
        <v>702</v>
      </c>
      <c r="S144" s="23" t="s">
        <v>703</v>
      </c>
    </row>
    <row r="145" spans="16:19" x14ac:dyDescent="0.35">
      <c r="P145" t="s">
        <v>704</v>
      </c>
      <c r="Q145" s="23" t="s">
        <v>593</v>
      </c>
      <c r="R145" s="23" t="s">
        <v>705</v>
      </c>
      <c r="S145" s="23" t="s">
        <v>706</v>
      </c>
    </row>
    <row r="146" spans="16:19" x14ac:dyDescent="0.35">
      <c r="P146" t="s">
        <v>707</v>
      </c>
      <c r="Q146" s="23" t="s">
        <v>593</v>
      </c>
      <c r="R146" s="23" t="s">
        <v>708</v>
      </c>
      <c r="S146" s="23" t="s">
        <v>709</v>
      </c>
    </row>
    <row r="147" spans="16:19" x14ac:dyDescent="0.35">
      <c r="P147" t="s">
        <v>327</v>
      </c>
      <c r="Q147" s="23" t="s">
        <v>593</v>
      </c>
      <c r="R147" s="23" t="s">
        <v>710</v>
      </c>
      <c r="S147" s="23" t="s">
        <v>711</v>
      </c>
    </row>
    <row r="148" spans="16:19" x14ac:dyDescent="0.35">
      <c r="P148" t="s">
        <v>370</v>
      </c>
      <c r="Q148" s="23" t="s">
        <v>593</v>
      </c>
      <c r="R148" s="23" t="s">
        <v>712</v>
      </c>
      <c r="S148" s="23" t="s">
        <v>713</v>
      </c>
    </row>
    <row r="149" spans="16:19" x14ac:dyDescent="0.35">
      <c r="P149" t="s">
        <v>714</v>
      </c>
      <c r="Q149" s="23" t="s">
        <v>593</v>
      </c>
      <c r="R149" s="23" t="s">
        <v>715</v>
      </c>
      <c r="S149" s="23" t="s">
        <v>716</v>
      </c>
    </row>
    <row r="150" spans="16:19" x14ac:dyDescent="0.35">
      <c r="P150" t="s">
        <v>717</v>
      </c>
      <c r="Q150" s="23" t="s">
        <v>593</v>
      </c>
      <c r="R150" s="23" t="s">
        <v>718</v>
      </c>
      <c r="S150" s="23" t="s">
        <v>719</v>
      </c>
    </row>
    <row r="151" spans="16:19" x14ac:dyDescent="0.35">
      <c r="P151" t="s">
        <v>717</v>
      </c>
      <c r="Q151" s="23" t="s">
        <v>593</v>
      </c>
      <c r="R151" s="23" t="s">
        <v>720</v>
      </c>
      <c r="S151" s="23" t="s">
        <v>721</v>
      </c>
    </row>
    <row r="152" spans="16:19" x14ac:dyDescent="0.35">
      <c r="P152" t="s">
        <v>722</v>
      </c>
      <c r="Q152" s="23" t="s">
        <v>593</v>
      </c>
      <c r="R152" s="23" t="s">
        <v>723</v>
      </c>
      <c r="S152" s="23" t="s">
        <v>724</v>
      </c>
    </row>
    <row r="153" spans="16:19" x14ac:dyDescent="0.35">
      <c r="P153" t="s">
        <v>722</v>
      </c>
      <c r="Q153" s="23" t="s">
        <v>593</v>
      </c>
      <c r="R153" s="23" t="s">
        <v>725</v>
      </c>
      <c r="S153" s="23" t="s">
        <v>726</v>
      </c>
    </row>
    <row r="154" spans="16:19" x14ac:dyDescent="0.35">
      <c r="P154" t="s">
        <v>727</v>
      </c>
      <c r="Q154" s="23" t="s">
        <v>593</v>
      </c>
      <c r="R154" s="23" t="s">
        <v>728</v>
      </c>
      <c r="S154" s="23" t="s">
        <v>729</v>
      </c>
    </row>
    <row r="155" spans="16:19" x14ac:dyDescent="0.35">
      <c r="P155" t="s">
        <v>730</v>
      </c>
      <c r="Q155" s="23" t="s">
        <v>593</v>
      </c>
      <c r="R155" s="23" t="s">
        <v>731</v>
      </c>
      <c r="S155" s="23" t="s">
        <v>732</v>
      </c>
    </row>
    <row r="156" spans="16:19" x14ac:dyDescent="0.35">
      <c r="P156" t="s">
        <v>733</v>
      </c>
      <c r="Q156" s="23" t="s">
        <v>593</v>
      </c>
      <c r="R156" s="23" t="s">
        <v>734</v>
      </c>
      <c r="S156" s="23" t="s">
        <v>735</v>
      </c>
    </row>
    <row r="157" spans="16:19" x14ac:dyDescent="0.35">
      <c r="P157" t="s">
        <v>736</v>
      </c>
      <c r="Q157" s="23" t="s">
        <v>593</v>
      </c>
      <c r="R157" s="23" t="s">
        <v>737</v>
      </c>
      <c r="S157" s="23" t="s">
        <v>738</v>
      </c>
    </row>
    <row r="158" spans="16:19" x14ac:dyDescent="0.35">
      <c r="P158" t="s">
        <v>739</v>
      </c>
      <c r="Q158" s="23" t="s">
        <v>593</v>
      </c>
      <c r="R158" s="23" t="s">
        <v>740</v>
      </c>
      <c r="S158" s="23" t="s">
        <v>741</v>
      </c>
    </row>
    <row r="159" spans="16:19" x14ac:dyDescent="0.35">
      <c r="P159" t="s">
        <v>742</v>
      </c>
      <c r="Q159" s="23" t="s">
        <v>593</v>
      </c>
      <c r="R159" s="23" t="s">
        <v>743</v>
      </c>
      <c r="S159" s="23" t="s">
        <v>744</v>
      </c>
    </row>
    <row r="160" spans="16:19" x14ac:dyDescent="0.35">
      <c r="P160" t="s">
        <v>745</v>
      </c>
      <c r="Q160" s="23" t="s">
        <v>593</v>
      </c>
      <c r="R160" s="23" t="s">
        <v>746</v>
      </c>
      <c r="S160" s="23" t="s">
        <v>747</v>
      </c>
    </row>
    <row r="161" spans="16:19" x14ac:dyDescent="0.35">
      <c r="P161" t="s">
        <v>748</v>
      </c>
      <c r="Q161" s="23" t="s">
        <v>593</v>
      </c>
      <c r="R161" s="23" t="s">
        <v>749</v>
      </c>
      <c r="S161" s="23" t="s">
        <v>750</v>
      </c>
    </row>
    <row r="162" spans="16:19" x14ac:dyDescent="0.35">
      <c r="P162" t="s">
        <v>751</v>
      </c>
      <c r="Q162" s="23" t="s">
        <v>593</v>
      </c>
      <c r="R162" s="23" t="s">
        <v>752</v>
      </c>
      <c r="S162" s="23" t="s">
        <v>753</v>
      </c>
    </row>
    <row r="163" spans="16:19" x14ac:dyDescent="0.35">
      <c r="P163" t="s">
        <v>754</v>
      </c>
      <c r="Q163" s="23" t="s">
        <v>593</v>
      </c>
      <c r="R163" s="23" t="s">
        <v>755</v>
      </c>
      <c r="S163" s="23" t="s">
        <v>756</v>
      </c>
    </row>
    <row r="164" spans="16:19" x14ac:dyDescent="0.35">
      <c r="P164" t="s">
        <v>757</v>
      </c>
      <c r="Q164" s="23" t="s">
        <v>593</v>
      </c>
      <c r="R164" s="23" t="s">
        <v>758</v>
      </c>
      <c r="S164" s="23" t="s">
        <v>759</v>
      </c>
    </row>
    <row r="165" spans="16:19" x14ac:dyDescent="0.35">
      <c r="P165" t="s">
        <v>757</v>
      </c>
      <c r="Q165" s="23" t="s">
        <v>593</v>
      </c>
      <c r="R165" s="23" t="s">
        <v>760</v>
      </c>
      <c r="S165" s="23" t="s">
        <v>761</v>
      </c>
    </row>
    <row r="166" spans="16:19" x14ac:dyDescent="0.35">
      <c r="P166" t="s">
        <v>762</v>
      </c>
      <c r="Q166" s="23" t="s">
        <v>593</v>
      </c>
      <c r="R166" s="23" t="s">
        <v>763</v>
      </c>
      <c r="S166" s="23" t="s">
        <v>764</v>
      </c>
    </row>
    <row r="167" spans="16:19" x14ac:dyDescent="0.35">
      <c r="P167" t="s">
        <v>765</v>
      </c>
      <c r="Q167" s="23" t="s">
        <v>593</v>
      </c>
      <c r="R167" s="23" t="s">
        <v>766</v>
      </c>
      <c r="S167" s="23" t="s">
        <v>767</v>
      </c>
    </row>
    <row r="168" spans="16:19" x14ac:dyDescent="0.35">
      <c r="P168" t="s">
        <v>757</v>
      </c>
      <c r="Q168" s="23" t="s">
        <v>593</v>
      </c>
      <c r="R168" s="23" t="s">
        <v>768</v>
      </c>
      <c r="S168" s="23" t="s">
        <v>769</v>
      </c>
    </row>
    <row r="169" spans="16:19" x14ac:dyDescent="0.35">
      <c r="P169" t="s">
        <v>770</v>
      </c>
      <c r="Q169" s="23" t="s">
        <v>593</v>
      </c>
      <c r="R169" s="23" t="s">
        <v>771</v>
      </c>
      <c r="S169" s="23" t="s">
        <v>772</v>
      </c>
    </row>
    <row r="170" spans="16:19" x14ac:dyDescent="0.35">
      <c r="P170" t="s">
        <v>773</v>
      </c>
      <c r="Q170" s="23" t="s">
        <v>593</v>
      </c>
      <c r="R170" s="23" t="s">
        <v>774</v>
      </c>
      <c r="S170" s="23" t="s">
        <v>775</v>
      </c>
    </row>
    <row r="171" spans="16:19" x14ac:dyDescent="0.35">
      <c r="P171" t="s">
        <v>776</v>
      </c>
      <c r="Q171" s="23" t="s">
        <v>593</v>
      </c>
      <c r="R171" s="23" t="s">
        <v>777</v>
      </c>
      <c r="S171" s="23" t="s">
        <v>778</v>
      </c>
    </row>
    <row r="172" spans="16:19" x14ac:dyDescent="0.35">
      <c r="P172" t="s">
        <v>420</v>
      </c>
      <c r="Q172" s="23" t="s">
        <v>593</v>
      </c>
      <c r="R172" s="23" t="s">
        <v>779</v>
      </c>
      <c r="S172" s="23" t="s">
        <v>780</v>
      </c>
    </row>
    <row r="173" spans="16:19" x14ac:dyDescent="0.35">
      <c r="P173" t="s">
        <v>781</v>
      </c>
      <c r="Q173" s="23" t="s">
        <v>593</v>
      </c>
      <c r="R173" s="23" t="s">
        <v>782</v>
      </c>
      <c r="S173" s="23" t="s">
        <v>783</v>
      </c>
    </row>
    <row r="174" spans="16:19" x14ac:dyDescent="0.35">
      <c r="P174" t="s">
        <v>410</v>
      </c>
      <c r="Q174" s="23" t="s">
        <v>593</v>
      </c>
      <c r="R174" s="23" t="s">
        <v>784</v>
      </c>
      <c r="S174" s="23" t="s">
        <v>785</v>
      </c>
    </row>
    <row r="175" spans="16:19" x14ac:dyDescent="0.35">
      <c r="P175" t="s">
        <v>786</v>
      </c>
      <c r="Q175" s="23" t="s">
        <v>593</v>
      </c>
      <c r="R175" s="23" t="s">
        <v>787</v>
      </c>
      <c r="S175" s="23" t="s">
        <v>788</v>
      </c>
    </row>
    <row r="176" spans="16:19" x14ac:dyDescent="0.35">
      <c r="P176" t="s">
        <v>789</v>
      </c>
      <c r="Q176" s="23" t="s">
        <v>593</v>
      </c>
      <c r="R176" s="23" t="s">
        <v>790</v>
      </c>
      <c r="S176" s="23" t="s">
        <v>791</v>
      </c>
    </row>
    <row r="177" spans="16:19" x14ac:dyDescent="0.35">
      <c r="P177" t="s">
        <v>792</v>
      </c>
      <c r="Q177" s="23" t="s">
        <v>593</v>
      </c>
      <c r="R177" s="23" t="s">
        <v>793</v>
      </c>
      <c r="S177" s="23" t="s">
        <v>794</v>
      </c>
    </row>
    <row r="178" spans="16:19" x14ac:dyDescent="0.35">
      <c r="P178" t="s">
        <v>795</v>
      </c>
      <c r="Q178" s="23" t="s">
        <v>593</v>
      </c>
      <c r="R178" s="23" t="s">
        <v>796</v>
      </c>
      <c r="S178" s="23" t="s">
        <v>797</v>
      </c>
    </row>
    <row r="179" spans="16:19" x14ac:dyDescent="0.35">
      <c r="P179" t="s">
        <v>798</v>
      </c>
      <c r="Q179" s="23" t="s">
        <v>593</v>
      </c>
      <c r="R179" s="23" t="s">
        <v>799</v>
      </c>
      <c r="S179" s="23" t="s">
        <v>800</v>
      </c>
    </row>
    <row r="180" spans="16:19" x14ac:dyDescent="0.35">
      <c r="P180" t="s">
        <v>801</v>
      </c>
      <c r="Q180" s="23" t="s">
        <v>593</v>
      </c>
      <c r="R180" s="23" t="s">
        <v>802</v>
      </c>
      <c r="S180" s="23" t="s">
        <v>803</v>
      </c>
    </row>
    <row r="181" spans="16:19" x14ac:dyDescent="0.35">
      <c r="P181" t="s">
        <v>804</v>
      </c>
      <c r="Q181" s="23" t="s">
        <v>593</v>
      </c>
      <c r="R181" s="23" t="s">
        <v>805</v>
      </c>
      <c r="S181" s="23" t="s">
        <v>806</v>
      </c>
    </row>
    <row r="182" spans="16:19" x14ac:dyDescent="0.35">
      <c r="P182" t="s">
        <v>807</v>
      </c>
      <c r="Q182" s="23" t="s">
        <v>593</v>
      </c>
      <c r="R182" s="23" t="s">
        <v>808</v>
      </c>
      <c r="S182" s="23" t="s">
        <v>809</v>
      </c>
    </row>
    <row r="183" spans="16:19" x14ac:dyDescent="0.35">
      <c r="P183" t="s">
        <v>810</v>
      </c>
      <c r="Q183" s="23" t="s">
        <v>593</v>
      </c>
      <c r="R183" s="23" t="s">
        <v>811</v>
      </c>
      <c r="S183" s="23" t="s">
        <v>812</v>
      </c>
    </row>
    <row r="184" spans="16:19" x14ac:dyDescent="0.35">
      <c r="P184" t="s">
        <v>813</v>
      </c>
      <c r="Q184" s="23" t="s">
        <v>593</v>
      </c>
      <c r="R184" s="23" t="s">
        <v>814</v>
      </c>
      <c r="S184" s="23" t="s">
        <v>815</v>
      </c>
    </row>
    <row r="185" spans="16:19" x14ac:dyDescent="0.35">
      <c r="P185" t="s">
        <v>816</v>
      </c>
      <c r="Q185" s="23" t="s">
        <v>593</v>
      </c>
      <c r="R185" s="23" t="s">
        <v>817</v>
      </c>
      <c r="S185" s="23" t="s">
        <v>818</v>
      </c>
    </row>
    <row r="186" spans="16:19" x14ac:dyDescent="0.35">
      <c r="P186" t="s">
        <v>819</v>
      </c>
      <c r="Q186" s="23" t="s">
        <v>593</v>
      </c>
      <c r="R186" s="23" t="s">
        <v>820</v>
      </c>
      <c r="S186" s="23" t="s">
        <v>821</v>
      </c>
    </row>
    <row r="187" spans="16:19" x14ac:dyDescent="0.35">
      <c r="P187" t="s">
        <v>822</v>
      </c>
      <c r="Q187" s="23" t="s">
        <v>593</v>
      </c>
      <c r="R187" s="23" t="s">
        <v>823</v>
      </c>
      <c r="S187" s="23" t="s">
        <v>824</v>
      </c>
    </row>
    <row r="188" spans="16:19" x14ac:dyDescent="0.35">
      <c r="P188" t="s">
        <v>484</v>
      </c>
      <c r="Q188" s="23" t="s">
        <v>593</v>
      </c>
      <c r="R188" s="23" t="s">
        <v>825</v>
      </c>
      <c r="S188" s="23" t="s">
        <v>826</v>
      </c>
    </row>
    <row r="189" spans="16:19" x14ac:dyDescent="0.35">
      <c r="P189" t="s">
        <v>569</v>
      </c>
      <c r="Q189" s="23" t="s">
        <v>593</v>
      </c>
      <c r="R189" s="23" t="s">
        <v>827</v>
      </c>
      <c r="S189" s="23" t="s">
        <v>828</v>
      </c>
    </row>
    <row r="190" spans="16:19" x14ac:dyDescent="0.35">
      <c r="P190" t="s">
        <v>829</v>
      </c>
      <c r="Q190" s="23" t="s">
        <v>593</v>
      </c>
      <c r="R190" s="23" t="s">
        <v>830</v>
      </c>
      <c r="S190" s="23" t="s">
        <v>831</v>
      </c>
    </row>
    <row r="191" spans="16:19" x14ac:dyDescent="0.35">
      <c r="P191" t="s">
        <v>832</v>
      </c>
      <c r="Q191" s="23" t="s">
        <v>593</v>
      </c>
      <c r="R191" s="23" t="s">
        <v>833</v>
      </c>
      <c r="S191" s="23" t="s">
        <v>834</v>
      </c>
    </row>
    <row r="192" spans="16:19" x14ac:dyDescent="0.35">
      <c r="P192" t="s">
        <v>835</v>
      </c>
      <c r="Q192" s="23" t="s">
        <v>593</v>
      </c>
      <c r="R192" s="23" t="s">
        <v>836</v>
      </c>
      <c r="S192" s="23" t="s">
        <v>837</v>
      </c>
    </row>
    <row r="193" spans="16:19" x14ac:dyDescent="0.35">
      <c r="P193" t="s">
        <v>838</v>
      </c>
      <c r="Q193" s="23" t="s">
        <v>593</v>
      </c>
      <c r="R193" s="23" t="s">
        <v>839</v>
      </c>
      <c r="S193" s="23" t="s">
        <v>840</v>
      </c>
    </row>
    <row r="194" spans="16:19" x14ac:dyDescent="0.35">
      <c r="P194" t="s">
        <v>841</v>
      </c>
      <c r="Q194" s="23" t="s">
        <v>593</v>
      </c>
      <c r="R194" s="23" t="s">
        <v>842</v>
      </c>
      <c r="S194" s="23" t="s">
        <v>843</v>
      </c>
    </row>
    <row r="195" spans="16:19" x14ac:dyDescent="0.35">
      <c r="P195" t="s">
        <v>844</v>
      </c>
      <c r="Q195" s="23" t="s">
        <v>593</v>
      </c>
      <c r="R195" s="23" t="s">
        <v>845</v>
      </c>
      <c r="S195" s="23" t="s">
        <v>846</v>
      </c>
    </row>
    <row r="196" spans="16:19" x14ac:dyDescent="0.35">
      <c r="P196" t="s">
        <v>847</v>
      </c>
      <c r="Q196" s="23" t="s">
        <v>593</v>
      </c>
      <c r="R196" s="23" t="s">
        <v>848</v>
      </c>
      <c r="S196" s="23" t="s">
        <v>849</v>
      </c>
    </row>
    <row r="197" spans="16:19" x14ac:dyDescent="0.35">
      <c r="P197" t="s">
        <v>850</v>
      </c>
      <c r="Q197" s="23" t="s">
        <v>593</v>
      </c>
      <c r="R197" s="23" t="s">
        <v>851</v>
      </c>
      <c r="S197" s="23" t="s">
        <v>852</v>
      </c>
    </row>
    <row r="198" spans="16:19" x14ac:dyDescent="0.35">
      <c r="P198" t="s">
        <v>853</v>
      </c>
      <c r="Q198" s="23" t="s">
        <v>593</v>
      </c>
      <c r="R198" s="23" t="s">
        <v>854</v>
      </c>
      <c r="S198" s="23" t="s">
        <v>855</v>
      </c>
    </row>
    <row r="199" spans="16:19" x14ac:dyDescent="0.35">
      <c r="P199" t="s">
        <v>856</v>
      </c>
      <c r="Q199" s="23" t="s">
        <v>593</v>
      </c>
      <c r="R199" s="23" t="s">
        <v>857</v>
      </c>
      <c r="S199" s="23" t="s">
        <v>858</v>
      </c>
    </row>
    <row r="200" spans="16:19" x14ac:dyDescent="0.35">
      <c r="P200" t="s">
        <v>859</v>
      </c>
      <c r="Q200" s="23" t="s">
        <v>593</v>
      </c>
      <c r="R200" s="23" t="s">
        <v>860</v>
      </c>
      <c r="S200" s="23" t="s">
        <v>861</v>
      </c>
    </row>
    <row r="201" spans="16:19" x14ac:dyDescent="0.35">
      <c r="P201" t="s">
        <v>862</v>
      </c>
      <c r="Q201" s="23" t="s">
        <v>593</v>
      </c>
      <c r="R201" s="23" t="s">
        <v>863</v>
      </c>
      <c r="S201" s="23" t="s">
        <v>864</v>
      </c>
    </row>
    <row r="202" spans="16:19" x14ac:dyDescent="0.35">
      <c r="P202" t="s">
        <v>865</v>
      </c>
      <c r="Q202" s="23" t="s">
        <v>593</v>
      </c>
      <c r="R202" s="23" t="s">
        <v>866</v>
      </c>
      <c r="S202" s="23" t="s">
        <v>867</v>
      </c>
    </row>
    <row r="203" spans="16:19" x14ac:dyDescent="0.35">
      <c r="P203" t="s">
        <v>868</v>
      </c>
      <c r="Q203" s="23" t="s">
        <v>869</v>
      </c>
      <c r="R203" s="23" t="s">
        <v>76</v>
      </c>
      <c r="S203" s="23" t="s">
        <v>78</v>
      </c>
    </row>
    <row r="204" spans="16:19" x14ac:dyDescent="0.35">
      <c r="P204" t="s">
        <v>298</v>
      </c>
      <c r="Q204" s="23" t="s">
        <v>869</v>
      </c>
      <c r="R204" s="23" t="s">
        <v>38</v>
      </c>
      <c r="S204" s="23" t="s">
        <v>12</v>
      </c>
    </row>
    <row r="205" spans="16:19" x14ac:dyDescent="0.35">
      <c r="P205" t="s">
        <v>870</v>
      </c>
      <c r="Q205" s="23" t="s">
        <v>869</v>
      </c>
      <c r="R205" s="23" t="s">
        <v>100</v>
      </c>
      <c r="S205" s="23" t="s">
        <v>102</v>
      </c>
    </row>
    <row r="206" spans="16:19" x14ac:dyDescent="0.35">
      <c r="P206" t="s">
        <v>871</v>
      </c>
      <c r="Q206" s="23" t="s">
        <v>869</v>
      </c>
      <c r="R206" s="23" t="s">
        <v>39</v>
      </c>
      <c r="S206" s="23" t="s">
        <v>112</v>
      </c>
    </row>
    <row r="207" spans="16:19" x14ac:dyDescent="0.35">
      <c r="P207" t="s">
        <v>872</v>
      </c>
      <c r="Q207" s="23" t="s">
        <v>869</v>
      </c>
      <c r="R207" s="23" t="s">
        <v>119</v>
      </c>
      <c r="S207" s="23" t="s">
        <v>120</v>
      </c>
    </row>
    <row r="208" spans="16:19" x14ac:dyDescent="0.35">
      <c r="P208" t="s">
        <v>873</v>
      </c>
      <c r="Q208" s="23" t="s">
        <v>869</v>
      </c>
      <c r="R208" s="23" t="s">
        <v>129</v>
      </c>
      <c r="S208" s="23" t="s">
        <v>130</v>
      </c>
    </row>
    <row r="209" spans="16:19" x14ac:dyDescent="0.35">
      <c r="P209" t="s">
        <v>153</v>
      </c>
      <c r="Q209" s="23" t="s">
        <v>869</v>
      </c>
      <c r="R209" s="23" t="s">
        <v>40</v>
      </c>
      <c r="S209" s="23" t="s">
        <v>14</v>
      </c>
    </row>
    <row r="210" spans="16:19" x14ac:dyDescent="0.35">
      <c r="P210" t="s">
        <v>873</v>
      </c>
      <c r="Q210" s="23" t="s">
        <v>869</v>
      </c>
      <c r="R210" s="23" t="s">
        <v>148</v>
      </c>
      <c r="S210" s="23" t="s">
        <v>149</v>
      </c>
    </row>
    <row r="211" spans="16:19" x14ac:dyDescent="0.35">
      <c r="P211" t="s">
        <v>874</v>
      </c>
      <c r="Q211" s="23" t="s">
        <v>869</v>
      </c>
      <c r="R211" s="23" t="s">
        <v>42</v>
      </c>
      <c r="S211" s="23" t="s">
        <v>16</v>
      </c>
    </row>
    <row r="212" spans="16:19" x14ac:dyDescent="0.35">
      <c r="P212" t="s">
        <v>875</v>
      </c>
      <c r="Q212" s="23" t="s">
        <v>869</v>
      </c>
      <c r="R212" s="23" t="s">
        <v>164</v>
      </c>
      <c r="S212" s="23" t="s">
        <v>165</v>
      </c>
    </row>
    <row r="213" spans="16:19" x14ac:dyDescent="0.35">
      <c r="P213" t="s">
        <v>876</v>
      </c>
      <c r="Q213" s="23" t="s">
        <v>869</v>
      </c>
      <c r="R213" s="23" t="s">
        <v>172</v>
      </c>
      <c r="S213" s="23" t="s">
        <v>174</v>
      </c>
    </row>
    <row r="214" spans="16:19" x14ac:dyDescent="0.35">
      <c r="P214" t="s">
        <v>877</v>
      </c>
      <c r="Q214" s="23" t="s">
        <v>869</v>
      </c>
      <c r="R214" s="23" t="s">
        <v>180</v>
      </c>
      <c r="S214" s="23" t="s">
        <v>181</v>
      </c>
    </row>
    <row r="215" spans="16:19" x14ac:dyDescent="0.35">
      <c r="P215" t="s">
        <v>878</v>
      </c>
      <c r="Q215" s="23" t="s">
        <v>869</v>
      </c>
      <c r="R215" s="23" t="s">
        <v>187</v>
      </c>
      <c r="S215" s="23" t="s">
        <v>879</v>
      </c>
    </row>
    <row r="216" spans="16:19" x14ac:dyDescent="0.35">
      <c r="P216" t="s">
        <v>880</v>
      </c>
      <c r="Q216" s="23" t="s">
        <v>869</v>
      </c>
      <c r="R216" s="23" t="s">
        <v>195</v>
      </c>
      <c r="S216" s="23" t="s">
        <v>196</v>
      </c>
    </row>
    <row r="217" spans="16:19" x14ac:dyDescent="0.35">
      <c r="P217" t="s">
        <v>881</v>
      </c>
      <c r="Q217" s="23" t="s">
        <v>869</v>
      </c>
      <c r="R217" s="23" t="s">
        <v>202</v>
      </c>
      <c r="S217" s="23" t="s">
        <v>203</v>
      </c>
    </row>
    <row r="218" spans="16:19" x14ac:dyDescent="0.35">
      <c r="P218" t="s">
        <v>882</v>
      </c>
      <c r="Q218" s="23" t="s">
        <v>869</v>
      </c>
      <c r="R218" s="23" t="s">
        <v>209</v>
      </c>
      <c r="S218" s="23" t="s">
        <v>210</v>
      </c>
    </row>
    <row r="219" spans="16:19" x14ac:dyDescent="0.35">
      <c r="P219" t="s">
        <v>882</v>
      </c>
      <c r="Q219" s="23" t="s">
        <v>869</v>
      </c>
      <c r="R219" s="23" t="s">
        <v>216</v>
      </c>
      <c r="S219" s="23" t="s">
        <v>217</v>
      </c>
    </row>
    <row r="220" spans="16:19" x14ac:dyDescent="0.35">
      <c r="P220" t="s">
        <v>883</v>
      </c>
      <c r="Q220" s="23" t="s">
        <v>869</v>
      </c>
      <c r="R220" s="23" t="s">
        <v>223</v>
      </c>
      <c r="S220" s="23" t="s">
        <v>224</v>
      </c>
    </row>
    <row r="221" spans="16:19" x14ac:dyDescent="0.35">
      <c r="P221" t="s">
        <v>884</v>
      </c>
      <c r="Q221" s="23" t="s">
        <v>869</v>
      </c>
      <c r="R221" s="23" t="s">
        <v>194</v>
      </c>
      <c r="S221" s="23" t="s">
        <v>17</v>
      </c>
    </row>
    <row r="222" spans="16:19" x14ac:dyDescent="0.35">
      <c r="P222" t="s">
        <v>885</v>
      </c>
      <c r="Q222" s="23" t="s">
        <v>869</v>
      </c>
      <c r="R222" s="23" t="s">
        <v>235</v>
      </c>
      <c r="S222" s="23" t="s">
        <v>886</v>
      </c>
    </row>
    <row r="223" spans="16:19" x14ac:dyDescent="0.35">
      <c r="P223" t="s">
        <v>887</v>
      </c>
      <c r="Q223" s="23" t="s">
        <v>869</v>
      </c>
      <c r="R223" s="23" t="s">
        <v>242</v>
      </c>
      <c r="S223" s="23" t="s">
        <v>242</v>
      </c>
    </row>
    <row r="224" spans="16:19" x14ac:dyDescent="0.35">
      <c r="P224" t="s">
        <v>888</v>
      </c>
      <c r="Q224" s="23" t="s">
        <v>869</v>
      </c>
      <c r="R224" s="23" t="s">
        <v>249</v>
      </c>
      <c r="S224" s="23" t="s">
        <v>249</v>
      </c>
    </row>
    <row r="225" spans="16:19" x14ac:dyDescent="0.35">
      <c r="P225" t="s">
        <v>889</v>
      </c>
      <c r="Q225" s="23" t="s">
        <v>869</v>
      </c>
      <c r="R225" s="23" t="s">
        <v>256</v>
      </c>
      <c r="S225" s="23" t="s">
        <v>257</v>
      </c>
    </row>
    <row r="226" spans="16:19" x14ac:dyDescent="0.35">
      <c r="P226" t="s">
        <v>890</v>
      </c>
      <c r="Q226" s="23" t="s">
        <v>869</v>
      </c>
      <c r="R226" s="23" t="s">
        <v>263</v>
      </c>
      <c r="S226" s="23" t="s">
        <v>264</v>
      </c>
    </row>
    <row r="227" spans="16:19" x14ac:dyDescent="0.35">
      <c r="P227" t="s">
        <v>891</v>
      </c>
      <c r="Q227" s="23" t="s">
        <v>869</v>
      </c>
      <c r="R227" s="23" t="s">
        <v>270</v>
      </c>
      <c r="S227" s="23" t="s">
        <v>271</v>
      </c>
    </row>
    <row r="228" spans="16:19" x14ac:dyDescent="0.35">
      <c r="P228" t="s">
        <v>892</v>
      </c>
      <c r="Q228" s="23" t="s">
        <v>869</v>
      </c>
      <c r="R228" s="23" t="s">
        <v>277</v>
      </c>
      <c r="S228" s="23" t="s">
        <v>893</v>
      </c>
    </row>
    <row r="229" spans="16:19" x14ac:dyDescent="0.35">
      <c r="P229" t="s">
        <v>894</v>
      </c>
      <c r="Q229" s="23" t="s">
        <v>869</v>
      </c>
      <c r="R229" s="23" t="s">
        <v>45</v>
      </c>
      <c r="S229" s="23" t="s">
        <v>19</v>
      </c>
    </row>
    <row r="230" spans="16:19" x14ac:dyDescent="0.35">
      <c r="P230" t="s">
        <v>895</v>
      </c>
      <c r="Q230" s="23" t="s">
        <v>869</v>
      </c>
      <c r="R230" s="23" t="s">
        <v>46</v>
      </c>
      <c r="S230" s="23" t="s">
        <v>20</v>
      </c>
    </row>
    <row r="231" spans="16:19" x14ac:dyDescent="0.35">
      <c r="P231" t="s">
        <v>896</v>
      </c>
      <c r="Q231" s="23" t="s">
        <v>869</v>
      </c>
      <c r="R231" s="23" t="s">
        <v>48</v>
      </c>
      <c r="S231" s="23" t="s">
        <v>22</v>
      </c>
    </row>
    <row r="232" spans="16:19" x14ac:dyDescent="0.35">
      <c r="P232" t="s">
        <v>897</v>
      </c>
      <c r="Q232" s="23" t="s">
        <v>869</v>
      </c>
      <c r="R232" s="23" t="s">
        <v>49</v>
      </c>
      <c r="S232" s="23" t="s">
        <v>23</v>
      </c>
    </row>
    <row r="233" spans="16:19" x14ac:dyDescent="0.35">
      <c r="P233" t="s">
        <v>883</v>
      </c>
      <c r="Q233" s="23" t="s">
        <v>869</v>
      </c>
      <c r="R233" s="23" t="s">
        <v>898</v>
      </c>
      <c r="S233" s="23" t="s">
        <v>302</v>
      </c>
    </row>
    <row r="234" spans="16:19" x14ac:dyDescent="0.35">
      <c r="P234" t="s">
        <v>899</v>
      </c>
      <c r="Q234" s="23" t="s">
        <v>869</v>
      </c>
      <c r="R234" s="23" t="s">
        <v>307</v>
      </c>
      <c r="S234" s="23" t="s">
        <v>308</v>
      </c>
    </row>
    <row r="235" spans="16:19" x14ac:dyDescent="0.35">
      <c r="P235" t="s">
        <v>900</v>
      </c>
      <c r="Q235" s="23" t="s">
        <v>869</v>
      </c>
      <c r="R235" s="23" t="s">
        <v>901</v>
      </c>
      <c r="S235" s="23" t="s">
        <v>313</v>
      </c>
    </row>
    <row r="236" spans="16:19" x14ac:dyDescent="0.35">
      <c r="P236" t="s">
        <v>902</v>
      </c>
      <c r="Q236" s="23" t="s">
        <v>869</v>
      </c>
      <c r="R236" s="23" t="s">
        <v>318</v>
      </c>
      <c r="S236" s="23" t="s">
        <v>319</v>
      </c>
    </row>
    <row r="237" spans="16:19" x14ac:dyDescent="0.35">
      <c r="P237" t="s">
        <v>903</v>
      </c>
      <c r="Q237" s="23" t="s">
        <v>869</v>
      </c>
      <c r="R237" s="23" t="s">
        <v>324</v>
      </c>
      <c r="S237" s="23" t="s">
        <v>325</v>
      </c>
    </row>
    <row r="238" spans="16:19" x14ac:dyDescent="0.35">
      <c r="P238" t="s">
        <v>904</v>
      </c>
      <c r="Q238" s="23" t="s">
        <v>869</v>
      </c>
      <c r="R238" s="23" t="s">
        <v>51</v>
      </c>
      <c r="S238" s="23" t="s">
        <v>330</v>
      </c>
    </row>
    <row r="239" spans="16:19" x14ac:dyDescent="0.35">
      <c r="P239" t="s">
        <v>905</v>
      </c>
      <c r="Q239" s="23" t="s">
        <v>869</v>
      </c>
      <c r="R239" s="23" t="s">
        <v>335</v>
      </c>
      <c r="S239" s="23" t="s">
        <v>336</v>
      </c>
    </row>
    <row r="240" spans="16:19" x14ac:dyDescent="0.35">
      <c r="P240" t="s">
        <v>906</v>
      </c>
      <c r="Q240" s="23" t="s">
        <v>869</v>
      </c>
      <c r="R240" s="23" t="s">
        <v>90</v>
      </c>
      <c r="S240" s="23" t="s">
        <v>341</v>
      </c>
    </row>
    <row r="241" spans="16:19" x14ac:dyDescent="0.35">
      <c r="P241" t="s">
        <v>907</v>
      </c>
      <c r="Q241" s="23" t="s">
        <v>869</v>
      </c>
      <c r="R241" s="23" t="s">
        <v>346</v>
      </c>
      <c r="S241" s="23" t="s">
        <v>347</v>
      </c>
    </row>
    <row r="242" spans="16:19" x14ac:dyDescent="0.35">
      <c r="P242" t="s">
        <v>908</v>
      </c>
      <c r="Q242" s="23" t="s">
        <v>869</v>
      </c>
      <c r="R242" s="23" t="s">
        <v>55</v>
      </c>
      <c r="S242" s="23" t="s">
        <v>29</v>
      </c>
    </row>
    <row r="243" spans="16:19" x14ac:dyDescent="0.35">
      <c r="P243" t="s">
        <v>909</v>
      </c>
      <c r="Q243" s="23" t="s">
        <v>869</v>
      </c>
      <c r="R243" s="23" t="s">
        <v>356</v>
      </c>
      <c r="S243" s="23" t="s">
        <v>357</v>
      </c>
    </row>
    <row r="244" spans="16:19" x14ac:dyDescent="0.35">
      <c r="P244" t="s">
        <v>910</v>
      </c>
      <c r="Q244" s="23" t="s">
        <v>869</v>
      </c>
      <c r="R244" s="23" t="s">
        <v>362</v>
      </c>
      <c r="S244" s="23" t="s">
        <v>363</v>
      </c>
    </row>
    <row r="245" spans="16:19" x14ac:dyDescent="0.35">
      <c r="P245" t="s">
        <v>801</v>
      </c>
      <c r="Q245" s="23" t="s">
        <v>869</v>
      </c>
      <c r="R245" s="23" t="s">
        <v>367</v>
      </c>
      <c r="S245" s="23" t="s">
        <v>368</v>
      </c>
    </row>
    <row r="246" spans="16:19" x14ac:dyDescent="0.35">
      <c r="P246" t="s">
        <v>801</v>
      </c>
      <c r="Q246" s="23" t="s">
        <v>869</v>
      </c>
      <c r="R246" s="23" t="s">
        <v>373</v>
      </c>
      <c r="S246" s="23" t="s">
        <v>374</v>
      </c>
    </row>
    <row r="247" spans="16:19" x14ac:dyDescent="0.35">
      <c r="P247" t="s">
        <v>911</v>
      </c>
      <c r="Q247" s="23" t="s">
        <v>869</v>
      </c>
      <c r="R247" s="23" t="s">
        <v>56</v>
      </c>
      <c r="S247" s="23" t="s">
        <v>379</v>
      </c>
    </row>
    <row r="248" spans="16:19" x14ac:dyDescent="0.35">
      <c r="P248" t="s">
        <v>912</v>
      </c>
      <c r="Q248" s="23" t="s">
        <v>869</v>
      </c>
      <c r="R248" s="23" t="s">
        <v>57</v>
      </c>
      <c r="S248" s="23" t="s">
        <v>384</v>
      </c>
    </row>
    <row r="249" spans="16:19" x14ac:dyDescent="0.35">
      <c r="P249" t="s">
        <v>913</v>
      </c>
      <c r="Q249" s="23" t="s">
        <v>869</v>
      </c>
      <c r="R249" s="23" t="s">
        <v>389</v>
      </c>
      <c r="S249" s="23" t="s">
        <v>390</v>
      </c>
    </row>
    <row r="250" spans="16:19" x14ac:dyDescent="0.35">
      <c r="P250" t="s">
        <v>914</v>
      </c>
      <c r="Q250" s="23" t="s">
        <v>869</v>
      </c>
      <c r="R250" s="23" t="s">
        <v>395</v>
      </c>
      <c r="S250" s="23" t="s">
        <v>396</v>
      </c>
    </row>
    <row r="251" spans="16:19" x14ac:dyDescent="0.35">
      <c r="P251" t="s">
        <v>915</v>
      </c>
      <c r="Q251" s="23" t="s">
        <v>869</v>
      </c>
      <c r="R251" s="23" t="s">
        <v>401</v>
      </c>
      <c r="S251" s="23" t="s">
        <v>402</v>
      </c>
    </row>
    <row r="252" spans="16:19" x14ac:dyDescent="0.35">
      <c r="P252" t="s">
        <v>916</v>
      </c>
      <c r="Q252" s="23" t="s">
        <v>869</v>
      </c>
      <c r="R252" s="23" t="s">
        <v>407</v>
      </c>
      <c r="S252" s="23" t="s">
        <v>408</v>
      </c>
    </row>
    <row r="253" spans="16:19" x14ac:dyDescent="0.35">
      <c r="P253" t="s">
        <v>917</v>
      </c>
      <c r="Q253" s="23" t="s">
        <v>869</v>
      </c>
      <c r="R253" s="23" t="s">
        <v>413</v>
      </c>
      <c r="S253" s="23" t="s">
        <v>414</v>
      </c>
    </row>
    <row r="254" spans="16:19" x14ac:dyDescent="0.35">
      <c r="P254" t="s">
        <v>918</v>
      </c>
      <c r="Q254" s="23" t="s">
        <v>869</v>
      </c>
      <c r="R254" s="23" t="s">
        <v>919</v>
      </c>
      <c r="S254" s="23" t="s">
        <v>418</v>
      </c>
    </row>
    <row r="255" spans="16:19" x14ac:dyDescent="0.35">
      <c r="P255" t="s">
        <v>920</v>
      </c>
      <c r="Q255" s="23" t="s">
        <v>869</v>
      </c>
      <c r="R255" s="23" t="s">
        <v>423</v>
      </c>
      <c r="S255" s="23" t="s">
        <v>424</v>
      </c>
    </row>
    <row r="256" spans="16:19" x14ac:dyDescent="0.35">
      <c r="P256" t="s">
        <v>921</v>
      </c>
      <c r="Q256" s="23" t="s">
        <v>869</v>
      </c>
      <c r="R256" s="23" t="s">
        <v>429</v>
      </c>
      <c r="S256" s="23" t="s">
        <v>430</v>
      </c>
    </row>
    <row r="257" spans="16:19" x14ac:dyDescent="0.35">
      <c r="P257" t="s">
        <v>922</v>
      </c>
      <c r="Q257" s="23" t="s">
        <v>869</v>
      </c>
      <c r="R257" s="23" t="s">
        <v>435</v>
      </c>
      <c r="S257" s="23" t="s">
        <v>435</v>
      </c>
    </row>
    <row r="258" spans="16:19" x14ac:dyDescent="0.35">
      <c r="P258" t="s">
        <v>923</v>
      </c>
      <c r="Q258" s="23" t="s">
        <v>869</v>
      </c>
      <c r="R258" s="23" t="s">
        <v>441</v>
      </c>
      <c r="S258" s="23" t="s">
        <v>441</v>
      </c>
    </row>
    <row r="259" spans="16:19" x14ac:dyDescent="0.35">
      <c r="P259" t="s">
        <v>924</v>
      </c>
      <c r="Q259" s="23" t="s">
        <v>869</v>
      </c>
      <c r="R259" s="23" t="s">
        <v>447</v>
      </c>
      <c r="S259" s="23" t="s">
        <v>448</v>
      </c>
    </row>
    <row r="260" spans="16:19" x14ac:dyDescent="0.35">
      <c r="P260" t="s">
        <v>925</v>
      </c>
      <c r="Q260" s="23" t="s">
        <v>869</v>
      </c>
      <c r="R260" s="23" t="s">
        <v>453</v>
      </c>
      <c r="S260" s="23" t="s">
        <v>454</v>
      </c>
    </row>
    <row r="261" spans="16:19" x14ac:dyDescent="0.35">
      <c r="P261" t="s">
        <v>926</v>
      </c>
      <c r="Q261" s="23" t="s">
        <v>869</v>
      </c>
      <c r="R261" s="23" t="s">
        <v>459</v>
      </c>
      <c r="S261" s="23" t="s">
        <v>460</v>
      </c>
    </row>
    <row r="262" spans="16:19" x14ac:dyDescent="0.35">
      <c r="P262" t="s">
        <v>927</v>
      </c>
      <c r="Q262" s="23" t="s">
        <v>869</v>
      </c>
      <c r="R262" s="23" t="s">
        <v>59</v>
      </c>
      <c r="S262" s="23" t="s">
        <v>33</v>
      </c>
    </row>
    <row r="263" spans="16:19" x14ac:dyDescent="0.35">
      <c r="P263" t="s">
        <v>928</v>
      </c>
      <c r="Q263" s="23" t="s">
        <v>869</v>
      </c>
      <c r="R263" s="23" t="s">
        <v>469</v>
      </c>
      <c r="S263" s="23" t="s">
        <v>470</v>
      </c>
    </row>
    <row r="264" spans="16:19" x14ac:dyDescent="0.35">
      <c r="P264" t="s">
        <v>929</v>
      </c>
      <c r="Q264" s="23" t="s">
        <v>930</v>
      </c>
      <c r="R264" s="23" t="s">
        <v>37</v>
      </c>
      <c r="S264" s="23" t="s">
        <v>931</v>
      </c>
    </row>
    <row r="265" spans="16:19" x14ac:dyDescent="0.35">
      <c r="P265" t="s">
        <v>932</v>
      </c>
      <c r="Q265" s="23" t="s">
        <v>930</v>
      </c>
      <c r="R265" s="23" t="s">
        <v>933</v>
      </c>
      <c r="S265" s="23" t="s">
        <v>934</v>
      </c>
    </row>
    <row r="266" spans="16:19" x14ac:dyDescent="0.35">
      <c r="P266" t="s">
        <v>935</v>
      </c>
      <c r="Q266" s="23" t="s">
        <v>930</v>
      </c>
      <c r="R266" s="23" t="s">
        <v>936</v>
      </c>
      <c r="S266" s="23" t="s">
        <v>937</v>
      </c>
    </row>
    <row r="267" spans="16:19" x14ac:dyDescent="0.35">
      <c r="P267" t="s">
        <v>935</v>
      </c>
      <c r="Q267" s="23" t="s">
        <v>930</v>
      </c>
      <c r="R267" s="23" t="s">
        <v>938</v>
      </c>
      <c r="S267" s="23" t="s">
        <v>939</v>
      </c>
    </row>
    <row r="268" spans="16:19" x14ac:dyDescent="0.35">
      <c r="P268" t="s">
        <v>940</v>
      </c>
      <c r="Q268" s="23" t="s">
        <v>930</v>
      </c>
      <c r="R268" s="23" t="s">
        <v>941</v>
      </c>
      <c r="S268" s="23" t="s">
        <v>942</v>
      </c>
    </row>
    <row r="269" spans="16:19" x14ac:dyDescent="0.35">
      <c r="P269" t="s">
        <v>943</v>
      </c>
      <c r="Q269" s="23" t="s">
        <v>930</v>
      </c>
      <c r="R269" s="23" t="s">
        <v>944</v>
      </c>
      <c r="S269" s="23" t="s">
        <v>945</v>
      </c>
    </row>
    <row r="270" spans="16:19" x14ac:dyDescent="0.35">
      <c r="P270" t="s">
        <v>946</v>
      </c>
      <c r="Q270" s="23" t="s">
        <v>930</v>
      </c>
      <c r="R270" s="23" t="s">
        <v>947</v>
      </c>
      <c r="S270" s="23" t="s">
        <v>948</v>
      </c>
    </row>
    <row r="271" spans="16:19" x14ac:dyDescent="0.35">
      <c r="P271" t="s">
        <v>628</v>
      </c>
      <c r="Q271" s="23" t="s">
        <v>930</v>
      </c>
      <c r="R271" s="23" t="s">
        <v>949</v>
      </c>
      <c r="S271" s="23" t="s">
        <v>950</v>
      </c>
    </row>
    <row r="272" spans="16:19" x14ac:dyDescent="0.35">
      <c r="P272" t="s">
        <v>951</v>
      </c>
      <c r="Q272" s="23" t="s">
        <v>930</v>
      </c>
      <c r="R272" s="23" t="s">
        <v>952</v>
      </c>
      <c r="S272" s="23" t="s">
        <v>953</v>
      </c>
    </row>
    <row r="273" spans="16:19" x14ac:dyDescent="0.35">
      <c r="P273" t="s">
        <v>484</v>
      </c>
      <c r="Q273" s="23" t="s">
        <v>930</v>
      </c>
      <c r="R273" s="23" t="s">
        <v>954</v>
      </c>
      <c r="S273" s="23" t="s">
        <v>955</v>
      </c>
    </row>
    <row r="274" spans="16:19" x14ac:dyDescent="0.35">
      <c r="P274" t="s">
        <v>484</v>
      </c>
      <c r="Q274" s="23" t="s">
        <v>930</v>
      </c>
      <c r="R274" s="23" t="s">
        <v>956</v>
      </c>
      <c r="S274" s="23" t="s">
        <v>957</v>
      </c>
    </row>
    <row r="275" spans="16:19" x14ac:dyDescent="0.35">
      <c r="P275" t="s">
        <v>484</v>
      </c>
      <c r="Q275" s="23" t="s">
        <v>930</v>
      </c>
      <c r="R275" s="23" t="s">
        <v>958</v>
      </c>
      <c r="S275" s="23" t="s">
        <v>959</v>
      </c>
    </row>
    <row r="276" spans="16:19" x14ac:dyDescent="0.35">
      <c r="P276" t="s">
        <v>569</v>
      </c>
      <c r="Q276" s="23" t="s">
        <v>930</v>
      </c>
      <c r="R276" s="23" t="s">
        <v>960</v>
      </c>
      <c r="S276" s="23" t="s">
        <v>961</v>
      </c>
    </row>
    <row r="277" spans="16:19" x14ac:dyDescent="0.35">
      <c r="P277" t="s">
        <v>962</v>
      </c>
      <c r="Q277" s="23" t="s">
        <v>930</v>
      </c>
      <c r="R277" s="23" t="s">
        <v>963</v>
      </c>
      <c r="S277" s="23" t="s">
        <v>964</v>
      </c>
    </row>
    <row r="278" spans="16:19" x14ac:dyDescent="0.35">
      <c r="P278" t="s">
        <v>965</v>
      </c>
      <c r="Q278" s="23" t="s">
        <v>930</v>
      </c>
      <c r="R278" s="23" t="s">
        <v>966</v>
      </c>
      <c r="S278" s="23" t="s">
        <v>967</v>
      </c>
    </row>
    <row r="279" spans="16:19" x14ac:dyDescent="0.35">
      <c r="P279" t="s">
        <v>569</v>
      </c>
      <c r="Q279" s="23" t="s">
        <v>930</v>
      </c>
      <c r="R279" s="23" t="s">
        <v>968</v>
      </c>
      <c r="S279" s="23" t="s">
        <v>969</v>
      </c>
    </row>
    <row r="280" spans="16:19" x14ac:dyDescent="0.35">
      <c r="P280" t="s">
        <v>569</v>
      </c>
      <c r="Q280" s="23" t="s">
        <v>930</v>
      </c>
      <c r="R280" s="23" t="s">
        <v>970</v>
      </c>
      <c r="S280" s="23" t="s">
        <v>971</v>
      </c>
    </row>
    <row r="281" spans="16:19" x14ac:dyDescent="0.35">
      <c r="P281" t="s">
        <v>972</v>
      </c>
      <c r="Q281" s="23" t="s">
        <v>930</v>
      </c>
      <c r="R281" s="23" t="s">
        <v>973</v>
      </c>
      <c r="S281" s="23" t="s">
        <v>974</v>
      </c>
    </row>
    <row r="282" spans="16:19" x14ac:dyDescent="0.35">
      <c r="P282" t="s">
        <v>975</v>
      </c>
      <c r="Q282" s="23" t="s">
        <v>930</v>
      </c>
      <c r="R282" s="23" t="s">
        <v>976</v>
      </c>
      <c r="S282" s="23" t="s">
        <v>977</v>
      </c>
    </row>
    <row r="283" spans="16:19" x14ac:dyDescent="0.35">
      <c r="P283" t="s">
        <v>978</v>
      </c>
      <c r="Q283" s="23" t="s">
        <v>930</v>
      </c>
      <c r="R283" s="23" t="s">
        <v>979</v>
      </c>
      <c r="S283" s="23" t="s">
        <v>980</v>
      </c>
    </row>
    <row r="284" spans="16:19" x14ac:dyDescent="0.35">
      <c r="P284" t="s">
        <v>544</v>
      </c>
      <c r="Q284" s="23" t="s">
        <v>930</v>
      </c>
      <c r="R284" s="23" t="s">
        <v>981</v>
      </c>
      <c r="S284" s="23" t="s">
        <v>982</v>
      </c>
    </row>
    <row r="285" spans="16:19" x14ac:dyDescent="0.35">
      <c r="P285" t="s">
        <v>983</v>
      </c>
      <c r="Q285" s="23" t="s">
        <v>930</v>
      </c>
      <c r="R285" s="23" t="s">
        <v>984</v>
      </c>
      <c r="S285" s="23" t="s">
        <v>985</v>
      </c>
    </row>
    <row r="286" spans="16:19" x14ac:dyDescent="0.35">
      <c r="P286" t="s">
        <v>501</v>
      </c>
      <c r="Q286" s="23" t="s">
        <v>930</v>
      </c>
      <c r="R286" s="23" t="s">
        <v>986</v>
      </c>
      <c r="S286" s="23" t="s">
        <v>987</v>
      </c>
    </row>
    <row r="287" spans="16:19" x14ac:dyDescent="0.35">
      <c r="P287" t="s">
        <v>988</v>
      </c>
      <c r="Q287" s="23" t="s">
        <v>930</v>
      </c>
      <c r="R287" s="23" t="s">
        <v>989</v>
      </c>
      <c r="S287" s="23" t="s">
        <v>990</v>
      </c>
    </row>
    <row r="288" spans="16:19" x14ac:dyDescent="0.35">
      <c r="P288" t="s">
        <v>991</v>
      </c>
      <c r="Q288" s="23" t="s">
        <v>930</v>
      </c>
      <c r="R288" s="23" t="s">
        <v>992</v>
      </c>
      <c r="S288" s="23" t="s">
        <v>993</v>
      </c>
    </row>
    <row r="289" spans="16:19" x14ac:dyDescent="0.35">
      <c r="P289" t="s">
        <v>994</v>
      </c>
      <c r="Q289" s="23" t="s">
        <v>930</v>
      </c>
      <c r="R289" s="23" t="s">
        <v>995</v>
      </c>
      <c r="S289" s="23" t="s">
        <v>996</v>
      </c>
    </row>
    <row r="290" spans="16:19" x14ac:dyDescent="0.35">
      <c r="P290" t="s">
        <v>997</v>
      </c>
      <c r="Q290" s="23" t="s">
        <v>930</v>
      </c>
      <c r="R290" s="23" t="s">
        <v>998</v>
      </c>
      <c r="S290" s="23" t="s">
        <v>999</v>
      </c>
    </row>
    <row r="291" spans="16:19" x14ac:dyDescent="0.35">
      <c r="P291" t="s">
        <v>1000</v>
      </c>
      <c r="Q291" s="23" t="s">
        <v>930</v>
      </c>
      <c r="R291" s="23" t="s">
        <v>1001</v>
      </c>
      <c r="S291" s="23" t="s">
        <v>1002</v>
      </c>
    </row>
    <row r="292" spans="16:19" x14ac:dyDescent="0.35">
      <c r="P292" t="s">
        <v>1003</v>
      </c>
      <c r="Q292" s="23" t="s">
        <v>930</v>
      </c>
      <c r="R292" s="23" t="s">
        <v>1004</v>
      </c>
      <c r="S292" s="23" t="s">
        <v>1005</v>
      </c>
    </row>
    <row r="293" spans="16:19" x14ac:dyDescent="0.35">
      <c r="P293" t="s">
        <v>739</v>
      </c>
      <c r="Q293" s="23" t="s">
        <v>930</v>
      </c>
      <c r="R293" s="23" t="s">
        <v>1006</v>
      </c>
      <c r="S293" s="23" t="s">
        <v>1007</v>
      </c>
    </row>
    <row r="294" spans="16:19" x14ac:dyDescent="0.35">
      <c r="P294" t="s">
        <v>1008</v>
      </c>
      <c r="Q294" s="23" t="s">
        <v>930</v>
      </c>
      <c r="R294" s="23" t="s">
        <v>1009</v>
      </c>
      <c r="S294" s="23" t="s">
        <v>1010</v>
      </c>
    </row>
    <row r="295" spans="16:19" x14ac:dyDescent="0.35">
      <c r="P295" t="s">
        <v>1011</v>
      </c>
      <c r="Q295" s="23" t="s">
        <v>930</v>
      </c>
      <c r="R295" s="23" t="s">
        <v>1012</v>
      </c>
      <c r="S295" s="23" t="s">
        <v>1013</v>
      </c>
    </row>
    <row r="296" spans="16:19" x14ac:dyDescent="0.35">
      <c r="P296" t="s">
        <v>773</v>
      </c>
      <c r="Q296" s="23" t="s">
        <v>930</v>
      </c>
      <c r="R296" s="23" t="s">
        <v>1014</v>
      </c>
      <c r="S296" s="23" t="s">
        <v>1015</v>
      </c>
    </row>
    <row r="297" spans="16:19" x14ac:dyDescent="0.35">
      <c r="P297" t="s">
        <v>1016</v>
      </c>
      <c r="Q297" s="23" t="s">
        <v>930</v>
      </c>
      <c r="R297" s="23" t="s">
        <v>1017</v>
      </c>
      <c r="S297" s="23" t="s">
        <v>1018</v>
      </c>
    </row>
    <row r="298" spans="16:19" x14ac:dyDescent="0.35">
      <c r="P298" t="s">
        <v>1019</v>
      </c>
      <c r="Q298" s="23" t="s">
        <v>930</v>
      </c>
      <c r="R298" s="23" t="s">
        <v>1020</v>
      </c>
      <c r="S298" s="23" t="s">
        <v>1021</v>
      </c>
    </row>
    <row r="299" spans="16:19" x14ac:dyDescent="0.35">
      <c r="P299" t="s">
        <v>1022</v>
      </c>
      <c r="Q299" s="23" t="s">
        <v>930</v>
      </c>
      <c r="R299" s="23" t="s">
        <v>1023</v>
      </c>
      <c r="S299" s="23" t="s">
        <v>1024</v>
      </c>
    </row>
    <row r="300" spans="16:19" x14ac:dyDescent="0.35">
      <c r="P300" t="s">
        <v>1025</v>
      </c>
      <c r="Q300" s="23" t="s">
        <v>930</v>
      </c>
      <c r="R300" s="23" t="s">
        <v>1026</v>
      </c>
      <c r="S300" s="23" t="s">
        <v>1027</v>
      </c>
    </row>
    <row r="301" spans="16:19" x14ac:dyDescent="0.35">
      <c r="P301" t="s">
        <v>1028</v>
      </c>
      <c r="Q301" s="23" t="s">
        <v>930</v>
      </c>
      <c r="R301" s="23" t="s">
        <v>1029</v>
      </c>
      <c r="S301" s="23" t="s">
        <v>1030</v>
      </c>
    </row>
    <row r="302" spans="16:19" x14ac:dyDescent="0.35">
      <c r="P302" t="s">
        <v>1031</v>
      </c>
      <c r="Q302" s="23" t="s">
        <v>930</v>
      </c>
      <c r="R302" s="23" t="s">
        <v>1032</v>
      </c>
      <c r="S302" s="23" t="s">
        <v>1033</v>
      </c>
    </row>
    <row r="303" spans="16:19" x14ac:dyDescent="0.35">
      <c r="P303" t="s">
        <v>1034</v>
      </c>
      <c r="Q303" s="23" t="s">
        <v>930</v>
      </c>
      <c r="R303" s="23" t="s">
        <v>1035</v>
      </c>
      <c r="S303" s="23" t="s">
        <v>1036</v>
      </c>
    </row>
    <row r="304" spans="16:19" x14ac:dyDescent="0.35">
      <c r="P304" t="s">
        <v>1031</v>
      </c>
      <c r="Q304" s="23" t="s">
        <v>930</v>
      </c>
      <c r="R304" s="23" t="s">
        <v>1037</v>
      </c>
      <c r="S304" s="23" t="s">
        <v>1038</v>
      </c>
    </row>
    <row r="305" spans="16:19" x14ac:dyDescent="0.35">
      <c r="P305" t="s">
        <v>1039</v>
      </c>
      <c r="Q305" s="23" t="s">
        <v>930</v>
      </c>
      <c r="R305" s="23" t="s">
        <v>1040</v>
      </c>
      <c r="S305" s="23" t="s">
        <v>1041</v>
      </c>
    </row>
    <row r="306" spans="16:19" x14ac:dyDescent="0.35">
      <c r="P306" t="s">
        <v>1042</v>
      </c>
      <c r="Q306" s="23" t="s">
        <v>930</v>
      </c>
      <c r="R306" s="23" t="s">
        <v>1043</v>
      </c>
      <c r="S306" s="23" t="s">
        <v>1044</v>
      </c>
    </row>
    <row r="307" spans="16:19" x14ac:dyDescent="0.35">
      <c r="P307" t="s">
        <v>770</v>
      </c>
      <c r="Q307" s="23" t="s">
        <v>930</v>
      </c>
      <c r="R307" s="23" t="s">
        <v>1045</v>
      </c>
      <c r="S307" s="23" t="s">
        <v>1046</v>
      </c>
    </row>
    <row r="308" spans="16:19" x14ac:dyDescent="0.35">
      <c r="P308" t="s">
        <v>1047</v>
      </c>
      <c r="Q308" s="23" t="s">
        <v>930</v>
      </c>
      <c r="R308" s="23" t="s">
        <v>1048</v>
      </c>
      <c r="S308" s="23" t="s">
        <v>1049</v>
      </c>
    </row>
    <row r="309" spans="16:19" x14ac:dyDescent="0.35">
      <c r="P309" t="s">
        <v>1050</v>
      </c>
      <c r="Q309" s="23" t="s">
        <v>930</v>
      </c>
      <c r="R309" s="23" t="s">
        <v>1051</v>
      </c>
      <c r="S309" s="23" t="s">
        <v>1052</v>
      </c>
    </row>
    <row r="310" spans="16:19" x14ac:dyDescent="0.35">
      <c r="P310" t="s">
        <v>298</v>
      </c>
      <c r="Q310" s="23" t="s">
        <v>930</v>
      </c>
      <c r="R310" s="23" t="s">
        <v>1053</v>
      </c>
      <c r="S310" s="23" t="s">
        <v>1054</v>
      </c>
    </row>
    <row r="311" spans="16:19" x14ac:dyDescent="0.35">
      <c r="P311" t="s">
        <v>484</v>
      </c>
      <c r="Q311" s="23" t="s">
        <v>930</v>
      </c>
      <c r="R311" s="23" t="s">
        <v>1055</v>
      </c>
      <c r="S311" s="23" t="s">
        <v>1056</v>
      </c>
    </row>
    <row r="312" spans="16:19" x14ac:dyDescent="0.35">
      <c r="P312" t="s">
        <v>1057</v>
      </c>
      <c r="Q312" s="23" t="s">
        <v>930</v>
      </c>
      <c r="R312" s="23" t="s">
        <v>1058</v>
      </c>
      <c r="S312" s="23" t="s">
        <v>1059</v>
      </c>
    </row>
    <row r="313" spans="16:19" x14ac:dyDescent="0.35">
      <c r="P313" t="s">
        <v>1060</v>
      </c>
      <c r="Q313" s="23" t="s">
        <v>930</v>
      </c>
      <c r="R313" s="23" t="s">
        <v>1061</v>
      </c>
      <c r="S313" s="23" t="s">
        <v>1062</v>
      </c>
    </row>
    <row r="314" spans="16:19" x14ac:dyDescent="0.35">
      <c r="P314" t="s">
        <v>1063</v>
      </c>
      <c r="Q314" s="23" t="s">
        <v>930</v>
      </c>
      <c r="R314" s="23" t="s">
        <v>1064</v>
      </c>
      <c r="S314" s="23" t="s">
        <v>1065</v>
      </c>
    </row>
    <row r="315" spans="16:19" x14ac:dyDescent="0.35">
      <c r="P315" t="s">
        <v>1066</v>
      </c>
      <c r="Q315" s="23" t="s">
        <v>930</v>
      </c>
      <c r="R315" s="23" t="s">
        <v>1067</v>
      </c>
      <c r="S315" s="23" t="s">
        <v>1068</v>
      </c>
    </row>
    <row r="316" spans="16:19" x14ac:dyDescent="0.35">
      <c r="P316" t="s">
        <v>923</v>
      </c>
      <c r="Q316" s="23" t="s">
        <v>930</v>
      </c>
      <c r="R316" s="23" t="s">
        <v>1069</v>
      </c>
      <c r="S316" s="23" t="s">
        <v>1070</v>
      </c>
    </row>
    <row r="317" spans="16:19" x14ac:dyDescent="0.35">
      <c r="P317" t="s">
        <v>1071</v>
      </c>
      <c r="Q317" s="23" t="s">
        <v>930</v>
      </c>
      <c r="R317" s="23" t="s">
        <v>1072</v>
      </c>
      <c r="S317" s="23" t="s">
        <v>1073</v>
      </c>
    </row>
  </sheetData>
  <sortState xmlns:xlrd2="http://schemas.microsoft.com/office/spreadsheetml/2017/richdata2" ref="E64:E68">
    <sortCondition ref="E68"/>
  </sortState>
  <phoneticPr fontId="3" type="noConversion"/>
  <pageMargins left="0.511811024" right="0.511811024" top="0.78740157499999996" bottom="0.78740157499999996" header="0.31496062000000002" footer="0.31496062000000002"/>
  <pageSetup paperSize="9" scale="150" orientation="portrait"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AF8E-EB73-49C4-BADB-CDFD4FAB0BB6}">
  <dimension ref="A1:B12"/>
  <sheetViews>
    <sheetView workbookViewId="0">
      <selection activeCell="E19" sqref="E19"/>
    </sheetView>
  </sheetViews>
  <sheetFormatPr defaultRowHeight="14.5" x14ac:dyDescent="0.35"/>
  <cols>
    <col min="1" max="1" width="20.1796875" customWidth="1"/>
  </cols>
  <sheetData>
    <row r="1" spans="1:2" x14ac:dyDescent="0.35">
      <c r="A1" t="s">
        <v>1074</v>
      </c>
      <c r="B1" t="s">
        <v>150</v>
      </c>
    </row>
    <row r="2" spans="1:2" x14ac:dyDescent="0.35">
      <c r="A2" s="39" t="s">
        <v>1075</v>
      </c>
      <c r="B2" t="s">
        <v>150</v>
      </c>
    </row>
    <row r="3" spans="1:2" x14ac:dyDescent="0.35">
      <c r="A3" s="40" t="s">
        <v>1076</v>
      </c>
      <c r="B3" t="s">
        <v>150</v>
      </c>
    </row>
    <row r="4" spans="1:2" x14ac:dyDescent="0.35">
      <c r="A4" s="39" t="s">
        <v>1077</v>
      </c>
      <c r="B4" t="s">
        <v>150</v>
      </c>
    </row>
    <row r="5" spans="1:2" x14ac:dyDescent="0.35">
      <c r="A5" s="40" t="s">
        <v>1078</v>
      </c>
      <c r="B5" t="s">
        <v>150</v>
      </c>
    </row>
    <row r="6" spans="1:2" x14ac:dyDescent="0.35">
      <c r="A6" s="40" t="s">
        <v>1079</v>
      </c>
      <c r="B6" t="s">
        <v>150</v>
      </c>
    </row>
    <row r="7" spans="1:2" x14ac:dyDescent="0.35">
      <c r="A7" t="s">
        <v>1074</v>
      </c>
      <c r="B7" t="s">
        <v>1080</v>
      </c>
    </row>
    <row r="8" spans="1:2" x14ac:dyDescent="0.35">
      <c r="A8" s="39" t="s">
        <v>1075</v>
      </c>
      <c r="B8" t="s">
        <v>1080</v>
      </c>
    </row>
    <row r="9" spans="1:2" x14ac:dyDescent="0.35">
      <c r="A9" s="40" t="s">
        <v>1076</v>
      </c>
      <c r="B9" t="s">
        <v>1080</v>
      </c>
    </row>
    <row r="10" spans="1:2" x14ac:dyDescent="0.35">
      <c r="A10" s="39" t="s">
        <v>1077</v>
      </c>
      <c r="B10" t="s">
        <v>1080</v>
      </c>
    </row>
    <row r="11" spans="1:2" x14ac:dyDescent="0.35">
      <c r="A11" s="40" t="s">
        <v>1078</v>
      </c>
      <c r="B11" t="s">
        <v>1080</v>
      </c>
    </row>
    <row r="12" spans="1:2" x14ac:dyDescent="0.35">
      <c r="A12" s="40" t="s">
        <v>1079</v>
      </c>
      <c r="B12" t="s">
        <v>1080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E3ED0-0C93-420F-B8D6-B5C3E4BC7680}">
  <dimension ref="B2:F541"/>
  <sheetViews>
    <sheetView topLeftCell="A7" workbookViewId="0">
      <selection activeCell="F13" sqref="F13"/>
    </sheetView>
  </sheetViews>
  <sheetFormatPr defaultRowHeight="14.5" x14ac:dyDescent="0.35"/>
  <cols>
    <col min="2" max="2" width="15.54296875" bestFit="1" customWidth="1"/>
    <col min="3" max="3" width="26.26953125" bestFit="1" customWidth="1"/>
    <col min="5" max="5" width="22" bestFit="1" customWidth="1"/>
    <col min="6" max="6" width="112.81640625" bestFit="1" customWidth="1"/>
  </cols>
  <sheetData>
    <row r="2" spans="2:6" x14ac:dyDescent="0.35">
      <c r="B2" t="s">
        <v>1081</v>
      </c>
      <c r="C2" t="s">
        <v>1082</v>
      </c>
      <c r="E2" s="54" t="s">
        <v>1083</v>
      </c>
      <c r="F2" s="55" t="s">
        <v>1084</v>
      </c>
    </row>
    <row r="3" spans="2:6" x14ac:dyDescent="0.35">
      <c r="B3" s="31">
        <f>ROW(Dim_Colab[[#This Row],[Colaboradores]])-2</f>
        <v>1</v>
      </c>
      <c r="C3" s="31" t="s">
        <v>1085</v>
      </c>
      <c r="E3" s="56">
        <v>3082580619</v>
      </c>
      <c r="F3" s="57" t="s">
        <v>1086</v>
      </c>
    </row>
    <row r="4" spans="2:6" x14ac:dyDescent="0.35">
      <c r="B4" s="31">
        <f>ROW(Dim_Colab[[#This Row],[Colaboradores]])-2</f>
        <v>2</v>
      </c>
      <c r="C4" s="31" t="s">
        <v>1087</v>
      </c>
      <c r="E4" s="56">
        <v>3082471527</v>
      </c>
      <c r="F4" s="57" t="s">
        <v>1088</v>
      </c>
    </row>
    <row r="5" spans="2:6" x14ac:dyDescent="0.35">
      <c r="B5" s="31">
        <f>ROW(Dim_Colab[[#This Row],[Colaboradores]])-2</f>
        <v>3</v>
      </c>
      <c r="C5" s="31" t="s">
        <v>1089</v>
      </c>
      <c r="E5" s="56">
        <v>3092463412</v>
      </c>
      <c r="F5" s="57" t="s">
        <v>1090</v>
      </c>
    </row>
    <row r="6" spans="2:6" x14ac:dyDescent="0.35">
      <c r="B6" s="31">
        <f>ROW(Dim_Colab[[#This Row],[Colaboradores]])-2</f>
        <v>4</v>
      </c>
      <c r="C6" s="31" t="s">
        <v>1091</v>
      </c>
      <c r="E6" s="56">
        <v>3082473598</v>
      </c>
      <c r="F6" s="57" t="s">
        <v>1092</v>
      </c>
    </row>
    <row r="7" spans="2:6" x14ac:dyDescent="0.35">
      <c r="B7" s="31">
        <f>ROW(Dim_Colab[[#This Row],[Colaboradores]])-2</f>
        <v>5</v>
      </c>
      <c r="C7" s="31" t="s">
        <v>1093</v>
      </c>
      <c r="E7" s="56">
        <v>3082470431</v>
      </c>
      <c r="F7" s="57" t="s">
        <v>1094</v>
      </c>
    </row>
    <row r="8" spans="2:6" x14ac:dyDescent="0.35">
      <c r="B8" s="31">
        <f>ROW(Dim_Colab[[#This Row],[Colaboradores]])-2</f>
        <v>6</v>
      </c>
      <c r="C8" s="31" t="s">
        <v>1095</v>
      </c>
      <c r="E8" s="56">
        <v>2358401</v>
      </c>
      <c r="F8" s="57" t="s">
        <v>1096</v>
      </c>
    </row>
    <row r="9" spans="2:6" x14ac:dyDescent="0.35">
      <c r="B9" s="31">
        <f>ROW(Dim_Colab[[#This Row],[Colaboradores]])-2</f>
        <v>7</v>
      </c>
      <c r="C9" s="31" t="s">
        <v>1097</v>
      </c>
      <c r="E9" s="56">
        <v>3082475276</v>
      </c>
      <c r="F9" s="57" t="s">
        <v>1098</v>
      </c>
    </row>
    <row r="10" spans="2:6" x14ac:dyDescent="0.35">
      <c r="B10" s="31">
        <f>ROW(Dim_Colab[[#This Row],[Colaboradores]])-2</f>
        <v>8</v>
      </c>
      <c r="C10" s="31" t="s">
        <v>1099</v>
      </c>
      <c r="E10" s="56">
        <v>3082470515</v>
      </c>
      <c r="F10" s="57" t="s">
        <v>1100</v>
      </c>
    </row>
    <row r="11" spans="2:6" x14ac:dyDescent="0.35">
      <c r="B11" s="31">
        <f>ROW(Dim_Colab[[#This Row],[Colaboradores]])-2</f>
        <v>9</v>
      </c>
      <c r="C11" s="31" t="s">
        <v>1101</v>
      </c>
      <c r="E11" s="56">
        <v>3095641510</v>
      </c>
      <c r="F11" s="57" t="s">
        <v>1102</v>
      </c>
    </row>
    <row r="12" spans="2:6" x14ac:dyDescent="0.35">
      <c r="B12" s="31">
        <f>ROW(Dim_Colab[[#This Row],[Colaboradores]])-2</f>
        <v>10</v>
      </c>
      <c r="C12" s="31" t="s">
        <v>1103</v>
      </c>
      <c r="E12" s="56">
        <v>3092481006</v>
      </c>
      <c r="F12" s="57" t="s">
        <v>1104</v>
      </c>
    </row>
    <row r="13" spans="2:6" x14ac:dyDescent="0.35">
      <c r="B13" s="31">
        <f>ROW(Dim_Colab[[#This Row],[Colaboradores]])-2</f>
        <v>11</v>
      </c>
      <c r="C13" s="31" t="s">
        <v>1105</v>
      </c>
      <c r="E13" s="56">
        <v>3095656133</v>
      </c>
      <c r="F13" s="57" t="s">
        <v>1106</v>
      </c>
    </row>
    <row r="14" spans="2:6" x14ac:dyDescent="0.35">
      <c r="B14" s="31">
        <f>ROW(Dim_Colab[[#This Row],[Colaboradores]])-2</f>
        <v>12</v>
      </c>
      <c r="C14" s="31" t="s">
        <v>1107</v>
      </c>
      <c r="E14" s="56">
        <v>3082471822</v>
      </c>
      <c r="F14" s="57" t="s">
        <v>1108</v>
      </c>
    </row>
    <row r="15" spans="2:6" x14ac:dyDescent="0.35">
      <c r="B15" s="31">
        <f>ROW(Dim_Colab[[#This Row],[Colaboradores]])-2</f>
        <v>13</v>
      </c>
      <c r="C15" s="31" t="s">
        <v>1109</v>
      </c>
      <c r="E15" s="56">
        <v>3082471380</v>
      </c>
      <c r="F15" s="57" t="s">
        <v>1110</v>
      </c>
    </row>
    <row r="16" spans="2:6" x14ac:dyDescent="0.35">
      <c r="B16" s="31">
        <f>ROW(Dim_Colab[[#This Row],[Colaboradores]])-2</f>
        <v>14</v>
      </c>
      <c r="C16" s="31" t="s">
        <v>1111</v>
      </c>
      <c r="E16" s="56">
        <v>72686413</v>
      </c>
      <c r="F16" s="57" t="s">
        <v>1112</v>
      </c>
    </row>
    <row r="17" spans="2:6" x14ac:dyDescent="0.35">
      <c r="B17" s="31">
        <f>ROW(Dim_Colab[[#This Row],[Colaboradores]])-2</f>
        <v>15</v>
      </c>
      <c r="C17" s="31" t="s">
        <v>1113</v>
      </c>
      <c r="E17" s="56">
        <v>3095032698</v>
      </c>
      <c r="F17" s="57" t="s">
        <v>1114</v>
      </c>
    </row>
    <row r="18" spans="2:6" x14ac:dyDescent="0.35">
      <c r="B18" s="31">
        <f>ROW(Dim_Colab[[#This Row],[Colaboradores]])-2</f>
        <v>16</v>
      </c>
      <c r="C18" s="31" t="s">
        <v>1115</v>
      </c>
      <c r="E18" s="56">
        <v>3082475501</v>
      </c>
      <c r="F18" s="57" t="s">
        <v>1116</v>
      </c>
    </row>
    <row r="19" spans="2:6" x14ac:dyDescent="0.35">
      <c r="B19" s="31">
        <f>ROW(Dim_Colab[[#This Row],[Colaboradores]])-2</f>
        <v>17</v>
      </c>
      <c r="C19" s="31" t="s">
        <v>1117</v>
      </c>
      <c r="E19" s="56">
        <v>3095713395</v>
      </c>
      <c r="F19" s="57" t="s">
        <v>1118</v>
      </c>
    </row>
    <row r="20" spans="2:6" x14ac:dyDescent="0.35">
      <c r="B20" s="31">
        <v>18</v>
      </c>
      <c r="C20" s="31" t="s">
        <v>1119</v>
      </c>
      <c r="E20" s="56">
        <v>3082470778</v>
      </c>
      <c r="F20" s="57" t="s">
        <v>1120</v>
      </c>
    </row>
    <row r="21" spans="2:6" x14ac:dyDescent="0.35">
      <c r="B21" s="31">
        <f>ROW(Dim_Colab[[#This Row],[Colaboradores]])-2</f>
        <v>19</v>
      </c>
      <c r="C21" s="31" t="s">
        <v>1121</v>
      </c>
      <c r="E21" s="56">
        <v>3092463406</v>
      </c>
      <c r="F21" s="57" t="s">
        <v>1122</v>
      </c>
    </row>
    <row r="22" spans="2:6" x14ac:dyDescent="0.35">
      <c r="E22" s="56">
        <v>37666282</v>
      </c>
      <c r="F22" s="57" t="s">
        <v>1123</v>
      </c>
    </row>
    <row r="23" spans="2:6" x14ac:dyDescent="0.35">
      <c r="E23" s="56">
        <v>3095800381</v>
      </c>
      <c r="F23" s="57" t="s">
        <v>1124</v>
      </c>
    </row>
    <row r="24" spans="2:6" x14ac:dyDescent="0.35">
      <c r="E24" s="56">
        <v>716402</v>
      </c>
      <c r="F24" s="57" t="s">
        <v>1125</v>
      </c>
    </row>
    <row r="25" spans="2:6" x14ac:dyDescent="0.35">
      <c r="E25" s="56">
        <v>3082470937</v>
      </c>
      <c r="F25" s="57" t="s">
        <v>1126</v>
      </c>
    </row>
    <row r="26" spans="2:6" x14ac:dyDescent="0.35">
      <c r="E26" s="56">
        <v>3085113537</v>
      </c>
      <c r="F26" s="57" t="s">
        <v>1127</v>
      </c>
    </row>
    <row r="27" spans="2:6" x14ac:dyDescent="0.35">
      <c r="E27" s="56">
        <v>3082473602</v>
      </c>
      <c r="F27" s="57" t="s">
        <v>1128</v>
      </c>
    </row>
    <row r="28" spans="2:6" x14ac:dyDescent="0.35">
      <c r="E28" s="56">
        <v>3092461725</v>
      </c>
      <c r="F28" s="57" t="s">
        <v>1129</v>
      </c>
    </row>
    <row r="29" spans="2:6" x14ac:dyDescent="0.35">
      <c r="E29" s="56">
        <v>3093027262</v>
      </c>
      <c r="F29" s="57" t="s">
        <v>1130</v>
      </c>
    </row>
    <row r="30" spans="2:6" x14ac:dyDescent="0.35">
      <c r="E30" s="56">
        <v>3085617631</v>
      </c>
      <c r="F30" s="57" t="s">
        <v>1131</v>
      </c>
    </row>
    <row r="31" spans="2:6" x14ac:dyDescent="0.35">
      <c r="E31" s="56">
        <v>3095800367</v>
      </c>
      <c r="F31" s="57" t="s">
        <v>1132</v>
      </c>
    </row>
    <row r="32" spans="2:6" x14ac:dyDescent="0.35">
      <c r="E32" s="56">
        <v>3082467109</v>
      </c>
      <c r="F32" s="57" t="s">
        <v>1133</v>
      </c>
    </row>
    <row r="33" spans="5:6" x14ac:dyDescent="0.35">
      <c r="E33" s="56">
        <v>3083096242</v>
      </c>
      <c r="F33" s="57" t="s">
        <v>1134</v>
      </c>
    </row>
    <row r="34" spans="5:6" x14ac:dyDescent="0.35">
      <c r="E34" s="56">
        <v>3082471964</v>
      </c>
      <c r="F34" s="57" t="s">
        <v>1135</v>
      </c>
    </row>
    <row r="35" spans="5:6" x14ac:dyDescent="0.35">
      <c r="E35" s="56">
        <v>3082472733</v>
      </c>
      <c r="F35" s="57" t="s">
        <v>1136</v>
      </c>
    </row>
    <row r="36" spans="5:6" x14ac:dyDescent="0.35">
      <c r="E36" s="56">
        <v>3082466849</v>
      </c>
      <c r="F36" s="57" t="s">
        <v>1137</v>
      </c>
    </row>
    <row r="37" spans="5:6" x14ac:dyDescent="0.35">
      <c r="E37" s="56">
        <v>9106</v>
      </c>
      <c r="F37" s="57" t="s">
        <v>1138</v>
      </c>
    </row>
    <row r="38" spans="5:6" x14ac:dyDescent="0.35">
      <c r="E38" s="56">
        <v>3085130302</v>
      </c>
      <c r="F38" s="57" t="s">
        <v>1139</v>
      </c>
    </row>
    <row r="39" spans="5:6" x14ac:dyDescent="0.35">
      <c r="E39" s="56">
        <v>3082528718</v>
      </c>
      <c r="F39" s="57" t="s">
        <v>1140</v>
      </c>
    </row>
    <row r="40" spans="5:6" x14ac:dyDescent="0.35">
      <c r="E40" s="56">
        <v>1142</v>
      </c>
      <c r="F40" s="57" t="s">
        <v>1141</v>
      </c>
    </row>
    <row r="41" spans="5:6" x14ac:dyDescent="0.35">
      <c r="E41" s="56">
        <v>4003992050</v>
      </c>
      <c r="F41" s="57" t="s">
        <v>1142</v>
      </c>
    </row>
    <row r="42" spans="5:6" x14ac:dyDescent="0.35">
      <c r="E42" s="56">
        <v>3092464869</v>
      </c>
      <c r="F42" s="57" t="s">
        <v>1143</v>
      </c>
    </row>
    <row r="43" spans="5:6" x14ac:dyDescent="0.35">
      <c r="E43" s="56">
        <v>3095654903</v>
      </c>
      <c r="F43" s="57" t="s">
        <v>1144</v>
      </c>
    </row>
    <row r="44" spans="5:6" x14ac:dyDescent="0.35">
      <c r="E44" s="56">
        <v>3092460505</v>
      </c>
      <c r="F44" s="57" t="s">
        <v>1145</v>
      </c>
    </row>
    <row r="45" spans="5:6" x14ac:dyDescent="0.35">
      <c r="E45" s="56" t="s">
        <v>1146</v>
      </c>
      <c r="F45" s="57" t="s">
        <v>1147</v>
      </c>
    </row>
    <row r="46" spans="5:6" x14ac:dyDescent="0.35">
      <c r="E46" s="56">
        <v>3082464795</v>
      </c>
      <c r="F46" s="57" t="s">
        <v>1148</v>
      </c>
    </row>
    <row r="47" spans="5:6" x14ac:dyDescent="0.35">
      <c r="E47" s="56">
        <v>3092460488</v>
      </c>
      <c r="F47" s="57" t="s">
        <v>1149</v>
      </c>
    </row>
    <row r="48" spans="5:6" x14ac:dyDescent="0.35">
      <c r="E48" s="56">
        <v>3095549037</v>
      </c>
      <c r="F48" s="57" t="s">
        <v>1150</v>
      </c>
    </row>
    <row r="49" spans="5:6" x14ac:dyDescent="0.35">
      <c r="E49" s="56">
        <v>72686189</v>
      </c>
      <c r="F49" s="57" t="s">
        <v>1151</v>
      </c>
    </row>
    <row r="50" spans="5:6" x14ac:dyDescent="0.35">
      <c r="E50" s="56">
        <v>3082471860</v>
      </c>
      <c r="F50" s="57" t="s">
        <v>1152</v>
      </c>
    </row>
    <row r="51" spans="5:6" x14ac:dyDescent="0.35">
      <c r="E51" s="56">
        <v>3082467455</v>
      </c>
      <c r="F51" s="57" t="s">
        <v>1153</v>
      </c>
    </row>
    <row r="52" spans="5:6" x14ac:dyDescent="0.35">
      <c r="E52" s="56">
        <v>3083072185</v>
      </c>
      <c r="F52" s="57" t="s">
        <v>1154</v>
      </c>
    </row>
    <row r="53" spans="5:6" x14ac:dyDescent="0.35">
      <c r="E53" s="56">
        <v>3082469838</v>
      </c>
      <c r="F53" s="57" t="s">
        <v>1155</v>
      </c>
    </row>
    <row r="54" spans="5:6" x14ac:dyDescent="0.35">
      <c r="E54" s="56">
        <v>3095077756</v>
      </c>
      <c r="F54" s="57" t="s">
        <v>1156</v>
      </c>
    </row>
    <row r="55" spans="5:6" x14ac:dyDescent="0.35">
      <c r="E55" s="56">
        <v>3092473747</v>
      </c>
      <c r="F55" s="57" t="s">
        <v>1157</v>
      </c>
    </row>
    <row r="56" spans="5:6" x14ac:dyDescent="0.35">
      <c r="E56" s="56">
        <v>3095800368</v>
      </c>
      <c r="F56" s="57" t="s">
        <v>1158</v>
      </c>
    </row>
    <row r="57" spans="5:6" x14ac:dyDescent="0.35">
      <c r="E57" s="56">
        <v>3085637044</v>
      </c>
      <c r="F57" s="57" t="s">
        <v>1159</v>
      </c>
    </row>
    <row r="58" spans="5:6" x14ac:dyDescent="0.35">
      <c r="E58" s="56">
        <v>3085021218</v>
      </c>
      <c r="F58" s="57" t="s">
        <v>1160</v>
      </c>
    </row>
    <row r="59" spans="5:6" x14ac:dyDescent="0.35">
      <c r="E59" s="56">
        <v>3082470300</v>
      </c>
      <c r="F59" s="57" t="s">
        <v>1161</v>
      </c>
    </row>
    <row r="60" spans="5:6" x14ac:dyDescent="0.35">
      <c r="E60" s="56">
        <v>3082470659</v>
      </c>
      <c r="F60" s="57" t="s">
        <v>1162</v>
      </c>
    </row>
    <row r="61" spans="5:6" x14ac:dyDescent="0.35">
      <c r="E61" s="56">
        <v>716405</v>
      </c>
      <c r="F61" s="57" t="s">
        <v>1163</v>
      </c>
    </row>
    <row r="62" spans="5:6" x14ac:dyDescent="0.35">
      <c r="E62" s="56">
        <v>3085401541</v>
      </c>
      <c r="F62" s="57" t="s">
        <v>1164</v>
      </c>
    </row>
    <row r="63" spans="5:6" x14ac:dyDescent="0.35">
      <c r="E63" s="56">
        <v>4003514314</v>
      </c>
      <c r="F63" s="57" t="s">
        <v>1165</v>
      </c>
    </row>
    <row r="64" spans="5:6" x14ac:dyDescent="0.35">
      <c r="E64" s="56">
        <v>4003644763</v>
      </c>
      <c r="F64" s="57" t="s">
        <v>1166</v>
      </c>
    </row>
    <row r="65" spans="5:6" x14ac:dyDescent="0.35">
      <c r="E65" s="56">
        <v>4003028310</v>
      </c>
      <c r="F65" s="57" t="s">
        <v>1167</v>
      </c>
    </row>
    <row r="66" spans="5:6" x14ac:dyDescent="0.35">
      <c r="E66" s="56">
        <v>12810</v>
      </c>
      <c r="F66" s="57" t="s">
        <v>1168</v>
      </c>
    </row>
    <row r="67" spans="5:6" x14ac:dyDescent="0.35">
      <c r="E67" s="56">
        <v>718</v>
      </c>
      <c r="F67" s="57" t="s">
        <v>1169</v>
      </c>
    </row>
    <row r="68" spans="5:6" x14ac:dyDescent="0.35">
      <c r="E68" s="56">
        <v>3082471247</v>
      </c>
      <c r="F68" s="57" t="s">
        <v>1170</v>
      </c>
    </row>
    <row r="69" spans="5:6" x14ac:dyDescent="0.35">
      <c r="E69" s="56">
        <v>3083173875</v>
      </c>
      <c r="F69" s="57" t="s">
        <v>1171</v>
      </c>
    </row>
    <row r="70" spans="5:6" x14ac:dyDescent="0.35">
      <c r="E70" s="56">
        <v>4003614877</v>
      </c>
      <c r="F70" s="57" t="s">
        <v>1172</v>
      </c>
    </row>
    <row r="71" spans="5:6" x14ac:dyDescent="0.35">
      <c r="E71" s="56">
        <v>3085296890</v>
      </c>
      <c r="F71" s="57" t="s">
        <v>1173</v>
      </c>
    </row>
    <row r="72" spans="5:6" x14ac:dyDescent="0.35">
      <c r="E72" s="56">
        <v>3083335655</v>
      </c>
      <c r="F72" s="57" t="s">
        <v>1174</v>
      </c>
    </row>
    <row r="73" spans="5:6" x14ac:dyDescent="0.35">
      <c r="E73" s="56">
        <v>3082471644</v>
      </c>
      <c r="F73" s="57" t="s">
        <v>1175</v>
      </c>
    </row>
    <row r="74" spans="5:6" x14ac:dyDescent="0.35">
      <c r="E74" s="56">
        <v>3082466612</v>
      </c>
      <c r="F74" s="57" t="s">
        <v>1176</v>
      </c>
    </row>
    <row r="75" spans="5:6" x14ac:dyDescent="0.35">
      <c r="E75" s="56">
        <v>37773</v>
      </c>
      <c r="F75" s="57" t="s">
        <v>1177</v>
      </c>
    </row>
    <row r="76" spans="5:6" x14ac:dyDescent="0.35">
      <c r="E76" s="56" t="s">
        <v>1178</v>
      </c>
      <c r="F76" s="57" t="s">
        <v>1179</v>
      </c>
    </row>
    <row r="77" spans="5:6" x14ac:dyDescent="0.35">
      <c r="E77" s="56">
        <v>3092569032</v>
      </c>
      <c r="F77" s="57" t="s">
        <v>1180</v>
      </c>
    </row>
    <row r="78" spans="5:6" x14ac:dyDescent="0.35">
      <c r="E78" s="56">
        <v>3082475297</v>
      </c>
      <c r="F78" s="57" t="s">
        <v>1181</v>
      </c>
    </row>
    <row r="79" spans="5:6" x14ac:dyDescent="0.35">
      <c r="E79" s="56">
        <v>3085019779</v>
      </c>
      <c r="F79" s="57" t="s">
        <v>1182</v>
      </c>
    </row>
    <row r="80" spans="5:6" x14ac:dyDescent="0.35">
      <c r="E80" s="56">
        <v>4003718765</v>
      </c>
      <c r="F80" s="57" t="s">
        <v>1183</v>
      </c>
    </row>
    <row r="81" spans="5:6" x14ac:dyDescent="0.35">
      <c r="E81" s="56">
        <v>13863</v>
      </c>
      <c r="F81" s="57" t="s">
        <v>1184</v>
      </c>
    </row>
    <row r="82" spans="5:6" x14ac:dyDescent="0.35">
      <c r="E82" s="56">
        <v>3095770715</v>
      </c>
      <c r="F82" s="57" t="s">
        <v>1185</v>
      </c>
    </row>
    <row r="83" spans="5:6" x14ac:dyDescent="0.35">
      <c r="E83" s="56">
        <v>3082467562</v>
      </c>
      <c r="F83" s="57" t="s">
        <v>1186</v>
      </c>
    </row>
    <row r="84" spans="5:6" x14ac:dyDescent="0.35">
      <c r="E84" s="56">
        <v>3093072385</v>
      </c>
      <c r="F84" s="57" t="s">
        <v>1187</v>
      </c>
    </row>
    <row r="85" spans="5:6" x14ac:dyDescent="0.35">
      <c r="E85" s="56">
        <v>3083256928</v>
      </c>
      <c r="F85" s="57" t="s">
        <v>1188</v>
      </c>
    </row>
    <row r="86" spans="5:6" x14ac:dyDescent="0.35">
      <c r="E86" s="56">
        <v>3082474375</v>
      </c>
      <c r="F86" s="57" t="s">
        <v>1189</v>
      </c>
    </row>
    <row r="87" spans="5:6" x14ac:dyDescent="0.35">
      <c r="E87" s="56">
        <v>3085365406</v>
      </c>
      <c r="F87" s="57" t="s">
        <v>1190</v>
      </c>
    </row>
    <row r="88" spans="5:6" x14ac:dyDescent="0.35">
      <c r="E88" s="56">
        <v>4002606215</v>
      </c>
      <c r="F88" s="57" t="s">
        <v>1191</v>
      </c>
    </row>
    <row r="89" spans="5:6" x14ac:dyDescent="0.35">
      <c r="E89" s="56">
        <v>3082999760</v>
      </c>
      <c r="F89" s="57" t="s">
        <v>1192</v>
      </c>
    </row>
    <row r="90" spans="5:6" x14ac:dyDescent="0.35">
      <c r="E90" s="56">
        <v>3095683771</v>
      </c>
      <c r="F90" s="57" t="s">
        <v>1193</v>
      </c>
    </row>
    <row r="91" spans="5:6" x14ac:dyDescent="0.35">
      <c r="E91" s="56">
        <v>3095654908</v>
      </c>
      <c r="F91" s="57" t="s">
        <v>1194</v>
      </c>
    </row>
    <row r="92" spans="5:6" x14ac:dyDescent="0.35">
      <c r="E92" s="56">
        <v>4002507978</v>
      </c>
      <c r="F92" s="57" t="s">
        <v>1195</v>
      </c>
    </row>
    <row r="93" spans="5:6" x14ac:dyDescent="0.35">
      <c r="E93" s="56">
        <v>3082474999</v>
      </c>
      <c r="F93" s="57" t="s">
        <v>1196</v>
      </c>
    </row>
    <row r="94" spans="5:6" x14ac:dyDescent="0.35">
      <c r="E94" s="56">
        <v>4003821413</v>
      </c>
      <c r="F94" s="57" t="s">
        <v>1197</v>
      </c>
    </row>
    <row r="95" spans="5:6" x14ac:dyDescent="0.35">
      <c r="E95" s="56">
        <v>3083096220</v>
      </c>
      <c r="F95" s="57" t="s">
        <v>1198</v>
      </c>
    </row>
    <row r="96" spans="5:6" x14ac:dyDescent="0.35">
      <c r="E96" s="56">
        <v>3082466902</v>
      </c>
      <c r="F96" s="57" t="s">
        <v>1199</v>
      </c>
    </row>
    <row r="97" spans="5:6" x14ac:dyDescent="0.35">
      <c r="E97" s="56">
        <v>3082471848</v>
      </c>
      <c r="F97" s="57" t="s">
        <v>1200</v>
      </c>
    </row>
    <row r="98" spans="5:6" x14ac:dyDescent="0.35">
      <c r="E98" s="56">
        <v>3082470495</v>
      </c>
      <c r="F98" s="57" t="s">
        <v>1201</v>
      </c>
    </row>
    <row r="99" spans="5:6" x14ac:dyDescent="0.35">
      <c r="E99" s="56">
        <v>4001491801</v>
      </c>
      <c r="F99" s="57" t="s">
        <v>1202</v>
      </c>
    </row>
    <row r="100" spans="5:6" x14ac:dyDescent="0.35">
      <c r="E100" s="56">
        <v>3082472207</v>
      </c>
      <c r="F100" s="57" t="s">
        <v>1203</v>
      </c>
    </row>
    <row r="101" spans="5:6" x14ac:dyDescent="0.35">
      <c r="E101" s="56">
        <v>3092463662</v>
      </c>
      <c r="F101" s="57" t="s">
        <v>1204</v>
      </c>
    </row>
    <row r="102" spans="5:6" x14ac:dyDescent="0.35">
      <c r="E102" s="56">
        <v>3085342007</v>
      </c>
      <c r="F102" s="57" t="s">
        <v>1205</v>
      </c>
    </row>
    <row r="103" spans="5:6" x14ac:dyDescent="0.35">
      <c r="E103" s="56">
        <v>3082470294</v>
      </c>
      <c r="F103" s="57" t="s">
        <v>1206</v>
      </c>
    </row>
    <row r="104" spans="5:6" x14ac:dyDescent="0.35">
      <c r="E104" s="56">
        <v>3095800375</v>
      </c>
      <c r="F104" s="57" t="s">
        <v>1207</v>
      </c>
    </row>
    <row r="105" spans="5:6" x14ac:dyDescent="0.35">
      <c r="E105" s="56">
        <v>3082467643</v>
      </c>
      <c r="F105" s="57" t="s">
        <v>1208</v>
      </c>
    </row>
    <row r="106" spans="5:6" x14ac:dyDescent="0.35">
      <c r="E106" s="56">
        <v>4002185725</v>
      </c>
      <c r="F106" s="57" t="s">
        <v>1209</v>
      </c>
    </row>
    <row r="107" spans="5:6" x14ac:dyDescent="0.35">
      <c r="E107" s="56">
        <v>3082715588</v>
      </c>
      <c r="F107" s="57" t="s">
        <v>1210</v>
      </c>
    </row>
    <row r="108" spans="5:6" x14ac:dyDescent="0.35">
      <c r="E108" s="56">
        <v>3082470287</v>
      </c>
      <c r="F108" s="57" t="s">
        <v>1211</v>
      </c>
    </row>
    <row r="109" spans="5:6" x14ac:dyDescent="0.35">
      <c r="E109" s="56">
        <v>3082471204</v>
      </c>
      <c r="F109" s="57" t="s">
        <v>1212</v>
      </c>
    </row>
    <row r="110" spans="5:6" x14ac:dyDescent="0.35">
      <c r="E110" s="56">
        <v>3082469425</v>
      </c>
      <c r="F110" s="57" t="s">
        <v>1213</v>
      </c>
    </row>
    <row r="111" spans="5:6" x14ac:dyDescent="0.35">
      <c r="E111" s="56" t="s">
        <v>1214</v>
      </c>
      <c r="F111" s="57" t="s">
        <v>1215</v>
      </c>
    </row>
    <row r="112" spans="5:6" x14ac:dyDescent="0.35">
      <c r="E112" s="56">
        <v>697</v>
      </c>
      <c r="F112" s="57" t="s">
        <v>1216</v>
      </c>
    </row>
    <row r="113" spans="5:6" x14ac:dyDescent="0.35">
      <c r="E113" s="56">
        <v>11008</v>
      </c>
      <c r="F113" s="57" t="s">
        <v>1217</v>
      </c>
    </row>
    <row r="114" spans="5:6" x14ac:dyDescent="0.35">
      <c r="E114" s="56">
        <v>3082470607</v>
      </c>
      <c r="F114" s="57" t="s">
        <v>1218</v>
      </c>
    </row>
    <row r="115" spans="5:6" x14ac:dyDescent="0.35">
      <c r="E115" s="56">
        <v>3082470415</v>
      </c>
      <c r="F115" s="57" t="s">
        <v>1219</v>
      </c>
    </row>
    <row r="116" spans="5:6" x14ac:dyDescent="0.35">
      <c r="E116" s="56">
        <v>3085628161</v>
      </c>
      <c r="F116" s="57" t="s">
        <v>1220</v>
      </c>
    </row>
    <row r="117" spans="5:6" x14ac:dyDescent="0.35">
      <c r="E117" s="56">
        <v>3093293872</v>
      </c>
      <c r="F117" s="57" t="s">
        <v>1221</v>
      </c>
    </row>
    <row r="118" spans="5:6" x14ac:dyDescent="0.35">
      <c r="E118" s="56">
        <v>3082467420</v>
      </c>
      <c r="F118" s="57" t="s">
        <v>1222</v>
      </c>
    </row>
    <row r="119" spans="5:6" x14ac:dyDescent="0.35">
      <c r="E119" s="56">
        <v>3085019953</v>
      </c>
      <c r="F119" s="57" t="s">
        <v>1223</v>
      </c>
    </row>
    <row r="120" spans="5:6" x14ac:dyDescent="0.35">
      <c r="E120" s="56">
        <v>3083178760</v>
      </c>
      <c r="F120" s="57" t="s">
        <v>1224</v>
      </c>
    </row>
    <row r="121" spans="5:6" x14ac:dyDescent="0.35">
      <c r="E121" s="56">
        <v>4001423797</v>
      </c>
      <c r="F121" s="57" t="s">
        <v>1225</v>
      </c>
    </row>
    <row r="122" spans="5:6" x14ac:dyDescent="0.35">
      <c r="E122" s="56">
        <v>3082466440</v>
      </c>
      <c r="F122" s="57" t="s">
        <v>1226</v>
      </c>
    </row>
    <row r="123" spans="5:6" x14ac:dyDescent="0.35">
      <c r="E123" s="56">
        <v>3082467281</v>
      </c>
      <c r="F123" s="57" t="s">
        <v>1227</v>
      </c>
    </row>
    <row r="124" spans="5:6" x14ac:dyDescent="0.35">
      <c r="E124" s="56">
        <v>3083286219</v>
      </c>
      <c r="F124" s="57" t="s">
        <v>1228</v>
      </c>
    </row>
    <row r="125" spans="5:6" x14ac:dyDescent="0.35">
      <c r="E125" s="56">
        <v>3082473590</v>
      </c>
      <c r="F125" s="57" t="s">
        <v>1229</v>
      </c>
    </row>
    <row r="126" spans="5:6" x14ac:dyDescent="0.35">
      <c r="E126" s="56">
        <v>4003647632</v>
      </c>
      <c r="F126" s="57" t="s">
        <v>1230</v>
      </c>
    </row>
    <row r="127" spans="5:6" x14ac:dyDescent="0.35">
      <c r="E127" s="56">
        <v>3082469460</v>
      </c>
      <c r="F127" s="57" t="s">
        <v>1231</v>
      </c>
    </row>
    <row r="128" spans="5:6" x14ac:dyDescent="0.35">
      <c r="E128" s="56">
        <v>3082470211</v>
      </c>
      <c r="F128" s="57" t="s">
        <v>1232</v>
      </c>
    </row>
    <row r="129" spans="5:6" x14ac:dyDescent="0.35">
      <c r="E129" s="56">
        <v>4003603236</v>
      </c>
      <c r="F129" s="57" t="s">
        <v>1233</v>
      </c>
    </row>
    <row r="130" spans="5:6" x14ac:dyDescent="0.35">
      <c r="E130" s="56">
        <v>3085306118</v>
      </c>
      <c r="F130" s="57" t="s">
        <v>1234</v>
      </c>
    </row>
    <row r="131" spans="5:6" x14ac:dyDescent="0.35">
      <c r="E131" s="56">
        <v>3092463710</v>
      </c>
      <c r="F131" s="57" t="s">
        <v>1235</v>
      </c>
    </row>
    <row r="132" spans="5:6" x14ac:dyDescent="0.35">
      <c r="E132" s="56">
        <v>3082827556</v>
      </c>
      <c r="F132" s="57" t="s">
        <v>1236</v>
      </c>
    </row>
    <row r="133" spans="5:6" x14ac:dyDescent="0.35">
      <c r="E133" s="56">
        <v>3082466562</v>
      </c>
      <c r="F133" s="57" t="s">
        <v>1237</v>
      </c>
    </row>
    <row r="134" spans="5:6" x14ac:dyDescent="0.35">
      <c r="E134" s="56">
        <v>3082469791</v>
      </c>
      <c r="F134" s="57" t="s">
        <v>1238</v>
      </c>
    </row>
    <row r="135" spans="5:6" x14ac:dyDescent="0.35">
      <c r="E135" s="56">
        <v>3082470043</v>
      </c>
      <c r="F135" s="57" t="s">
        <v>1239</v>
      </c>
    </row>
    <row r="136" spans="5:6" x14ac:dyDescent="0.35">
      <c r="E136" s="56">
        <v>3092460690</v>
      </c>
      <c r="F136" s="57" t="s">
        <v>1240</v>
      </c>
    </row>
    <row r="137" spans="5:6" x14ac:dyDescent="0.35">
      <c r="E137" s="56">
        <v>3083253818</v>
      </c>
      <c r="F137" s="57" t="s">
        <v>1241</v>
      </c>
    </row>
    <row r="138" spans="5:6" x14ac:dyDescent="0.35">
      <c r="E138" s="56">
        <v>3083073470</v>
      </c>
      <c r="F138" s="57" t="s">
        <v>1242</v>
      </c>
    </row>
    <row r="139" spans="5:6" x14ac:dyDescent="0.35">
      <c r="E139" s="56">
        <v>3082539572</v>
      </c>
      <c r="F139" s="57" t="s">
        <v>1243</v>
      </c>
    </row>
    <row r="140" spans="5:6" x14ac:dyDescent="0.35">
      <c r="E140" s="56">
        <v>3085629800</v>
      </c>
      <c r="F140" s="57" t="s">
        <v>1244</v>
      </c>
    </row>
    <row r="141" spans="5:6" x14ac:dyDescent="0.35">
      <c r="E141" s="56">
        <v>3085603399</v>
      </c>
      <c r="F141" s="57" t="s">
        <v>1245</v>
      </c>
    </row>
    <row r="142" spans="5:6" x14ac:dyDescent="0.35">
      <c r="E142" s="56">
        <v>3082455107</v>
      </c>
      <c r="F142" s="57" t="s">
        <v>1246</v>
      </c>
    </row>
    <row r="143" spans="5:6" x14ac:dyDescent="0.35">
      <c r="E143" s="56">
        <v>3082466792</v>
      </c>
      <c r="F143" s="57" t="s">
        <v>1247</v>
      </c>
    </row>
    <row r="144" spans="5:6" x14ac:dyDescent="0.35">
      <c r="E144" s="56">
        <v>4003876152</v>
      </c>
      <c r="F144" s="57" t="s">
        <v>1248</v>
      </c>
    </row>
    <row r="145" spans="5:6" x14ac:dyDescent="0.35">
      <c r="E145" s="56">
        <v>3092682050</v>
      </c>
      <c r="F145" s="57" t="s">
        <v>1249</v>
      </c>
    </row>
    <row r="146" spans="5:6" x14ac:dyDescent="0.35">
      <c r="E146" s="56">
        <v>24698687</v>
      </c>
      <c r="F146" s="57" t="s">
        <v>1250</v>
      </c>
    </row>
    <row r="147" spans="5:6" x14ac:dyDescent="0.35">
      <c r="E147" s="56">
        <v>3082469810</v>
      </c>
      <c r="F147" s="57" t="s">
        <v>1251</v>
      </c>
    </row>
    <row r="148" spans="5:6" x14ac:dyDescent="0.35">
      <c r="E148" s="56">
        <v>3082469547</v>
      </c>
      <c r="F148" s="57" t="s">
        <v>1252</v>
      </c>
    </row>
    <row r="149" spans="5:6" x14ac:dyDescent="0.35">
      <c r="E149" s="56">
        <v>3092460725</v>
      </c>
      <c r="F149" s="57" t="s">
        <v>1253</v>
      </c>
    </row>
    <row r="150" spans="5:6" x14ac:dyDescent="0.35">
      <c r="E150" s="56">
        <v>3082471601</v>
      </c>
      <c r="F150" s="57" t="s">
        <v>1254</v>
      </c>
    </row>
    <row r="151" spans="5:6" x14ac:dyDescent="0.35">
      <c r="E151" s="56">
        <v>3082467514</v>
      </c>
      <c r="F151" s="57" t="s">
        <v>1255</v>
      </c>
    </row>
    <row r="152" spans="5:6" x14ac:dyDescent="0.35">
      <c r="E152" s="56">
        <v>3092500980</v>
      </c>
      <c r="F152" s="57" t="s">
        <v>1256</v>
      </c>
    </row>
    <row r="153" spans="5:6" x14ac:dyDescent="0.35">
      <c r="E153" s="56">
        <v>3082471855</v>
      </c>
      <c r="F153" s="57" t="s">
        <v>1257</v>
      </c>
    </row>
    <row r="154" spans="5:6" x14ac:dyDescent="0.35">
      <c r="E154" s="56">
        <v>3083094401</v>
      </c>
      <c r="F154" s="57" t="s">
        <v>1258</v>
      </c>
    </row>
    <row r="155" spans="5:6" x14ac:dyDescent="0.35">
      <c r="E155" s="56">
        <v>4001377791</v>
      </c>
      <c r="F155" s="57" t="s">
        <v>1259</v>
      </c>
    </row>
    <row r="156" spans="5:6" x14ac:dyDescent="0.35">
      <c r="E156" s="56">
        <v>7048</v>
      </c>
      <c r="F156" s="57" t="s">
        <v>1260</v>
      </c>
    </row>
    <row r="157" spans="5:6" x14ac:dyDescent="0.35">
      <c r="E157" s="56" t="s">
        <v>1261</v>
      </c>
      <c r="F157" s="57" t="s">
        <v>1262</v>
      </c>
    </row>
    <row r="158" spans="5:6" x14ac:dyDescent="0.35">
      <c r="E158" s="56">
        <v>14665</v>
      </c>
      <c r="F158" s="57" t="s">
        <v>1263</v>
      </c>
    </row>
    <row r="159" spans="5:6" x14ac:dyDescent="0.35">
      <c r="E159" s="56">
        <v>3085723548</v>
      </c>
      <c r="F159" s="57" t="s">
        <v>1264</v>
      </c>
    </row>
    <row r="160" spans="5:6" x14ac:dyDescent="0.35">
      <c r="E160" s="56">
        <v>4003686205</v>
      </c>
      <c r="F160" s="57" t="s">
        <v>1265</v>
      </c>
    </row>
    <row r="161" spans="5:6" x14ac:dyDescent="0.35">
      <c r="E161" s="56">
        <v>3095026668</v>
      </c>
      <c r="F161" s="57" t="s">
        <v>1266</v>
      </c>
    </row>
    <row r="162" spans="5:6" x14ac:dyDescent="0.35">
      <c r="E162" s="56">
        <v>3082469818</v>
      </c>
      <c r="F162" s="57" t="s">
        <v>1267</v>
      </c>
    </row>
    <row r="163" spans="5:6" x14ac:dyDescent="0.35">
      <c r="E163" s="56">
        <v>3082470582</v>
      </c>
      <c r="F163" s="57" t="s">
        <v>1268</v>
      </c>
    </row>
    <row r="164" spans="5:6" x14ac:dyDescent="0.35">
      <c r="E164" s="56">
        <v>3083110350</v>
      </c>
      <c r="F164" s="57" t="s">
        <v>1269</v>
      </c>
    </row>
    <row r="165" spans="5:6" x14ac:dyDescent="0.35">
      <c r="E165" s="56">
        <v>3082469862</v>
      </c>
      <c r="F165" s="57" t="s">
        <v>1270</v>
      </c>
    </row>
    <row r="166" spans="5:6" x14ac:dyDescent="0.35">
      <c r="E166" s="56">
        <v>4002466172</v>
      </c>
      <c r="F166" s="57" t="s">
        <v>1271</v>
      </c>
    </row>
    <row r="167" spans="5:6" x14ac:dyDescent="0.35">
      <c r="E167" s="56">
        <v>3083286220</v>
      </c>
      <c r="F167" s="57" t="s">
        <v>1272</v>
      </c>
    </row>
    <row r="168" spans="5:6" x14ac:dyDescent="0.35">
      <c r="E168" s="56">
        <v>4002663287</v>
      </c>
      <c r="F168" s="57" t="s">
        <v>1273</v>
      </c>
    </row>
    <row r="169" spans="5:6" x14ac:dyDescent="0.35">
      <c r="E169" s="56">
        <v>3092460728</v>
      </c>
      <c r="F169" s="57" t="s">
        <v>1274</v>
      </c>
    </row>
    <row r="170" spans="5:6" x14ac:dyDescent="0.35">
      <c r="E170" s="56">
        <v>47238259</v>
      </c>
      <c r="F170" s="57" t="s">
        <v>1275</v>
      </c>
    </row>
    <row r="171" spans="5:6" x14ac:dyDescent="0.35">
      <c r="E171" s="56">
        <v>3082466610</v>
      </c>
      <c r="F171" s="57" t="s">
        <v>1276</v>
      </c>
    </row>
    <row r="172" spans="5:6" x14ac:dyDescent="0.35">
      <c r="E172" s="56">
        <v>3085568965</v>
      </c>
      <c r="F172" s="57" t="s">
        <v>1277</v>
      </c>
    </row>
    <row r="173" spans="5:6" x14ac:dyDescent="0.35">
      <c r="E173" s="56">
        <v>3082470430</v>
      </c>
      <c r="F173" s="57" t="s">
        <v>1278</v>
      </c>
    </row>
    <row r="174" spans="5:6" x14ac:dyDescent="0.35">
      <c r="E174" s="56">
        <v>3083110068</v>
      </c>
      <c r="F174" s="57" t="s">
        <v>1279</v>
      </c>
    </row>
    <row r="175" spans="5:6" x14ac:dyDescent="0.35">
      <c r="E175" s="56">
        <v>3083241407</v>
      </c>
      <c r="F175" s="57" t="s">
        <v>1280</v>
      </c>
    </row>
    <row r="176" spans="5:6" x14ac:dyDescent="0.35">
      <c r="E176" s="56">
        <v>3082510624</v>
      </c>
      <c r="F176" s="57" t="s">
        <v>1281</v>
      </c>
    </row>
    <row r="177" spans="5:6" x14ac:dyDescent="0.35">
      <c r="E177" s="56">
        <v>3083038008</v>
      </c>
      <c r="F177" s="57" t="s">
        <v>1282</v>
      </c>
    </row>
    <row r="178" spans="5:6" x14ac:dyDescent="0.35">
      <c r="E178" s="56">
        <v>3095800373</v>
      </c>
      <c r="F178" s="57" t="s">
        <v>1283</v>
      </c>
    </row>
    <row r="179" spans="5:6" x14ac:dyDescent="0.35">
      <c r="E179" s="56">
        <v>3095215855</v>
      </c>
      <c r="F179" s="57" t="s">
        <v>1284</v>
      </c>
    </row>
    <row r="180" spans="5:6" x14ac:dyDescent="0.35">
      <c r="E180" s="56">
        <v>3082469592</v>
      </c>
      <c r="F180" s="57" t="s">
        <v>1285</v>
      </c>
    </row>
    <row r="181" spans="5:6" x14ac:dyDescent="0.35">
      <c r="E181" s="56">
        <v>3082496992</v>
      </c>
      <c r="F181" s="57" t="s">
        <v>1286</v>
      </c>
    </row>
    <row r="182" spans="5:6" x14ac:dyDescent="0.35">
      <c r="E182" s="56">
        <v>3082536129</v>
      </c>
      <c r="F182" s="57" t="s">
        <v>1287</v>
      </c>
    </row>
    <row r="183" spans="5:6" x14ac:dyDescent="0.35">
      <c r="E183" s="56">
        <v>3092463705</v>
      </c>
      <c r="F183" s="57" t="s">
        <v>1288</v>
      </c>
    </row>
    <row r="184" spans="5:6" x14ac:dyDescent="0.35">
      <c r="E184" s="56">
        <v>3082709354</v>
      </c>
      <c r="F184" s="57" t="s">
        <v>1289</v>
      </c>
    </row>
    <row r="185" spans="5:6" x14ac:dyDescent="0.35">
      <c r="E185" s="56">
        <v>3082471235</v>
      </c>
      <c r="F185" s="57" t="s">
        <v>1290</v>
      </c>
    </row>
    <row r="186" spans="5:6" x14ac:dyDescent="0.35">
      <c r="E186" s="56">
        <v>3093323985</v>
      </c>
      <c r="F186" s="57" t="s">
        <v>1291</v>
      </c>
    </row>
    <row r="187" spans="5:6" x14ac:dyDescent="0.35">
      <c r="E187" s="56">
        <v>3083329322</v>
      </c>
      <c r="F187" s="57" t="s">
        <v>1292</v>
      </c>
    </row>
    <row r="188" spans="5:6" x14ac:dyDescent="0.35">
      <c r="E188" s="56">
        <v>3085427757</v>
      </c>
      <c r="F188" s="57" t="s">
        <v>1293</v>
      </c>
    </row>
    <row r="189" spans="5:6" x14ac:dyDescent="0.35">
      <c r="E189" s="56">
        <v>3082469956</v>
      </c>
      <c r="F189" s="57" t="s">
        <v>1294</v>
      </c>
    </row>
    <row r="190" spans="5:6" x14ac:dyDescent="0.35">
      <c r="E190" s="56">
        <v>3082788312</v>
      </c>
      <c r="F190" s="57" t="s">
        <v>1295</v>
      </c>
    </row>
    <row r="191" spans="5:6" x14ac:dyDescent="0.35">
      <c r="E191" s="56">
        <v>4002651644</v>
      </c>
      <c r="F191" s="57" t="s">
        <v>1296</v>
      </c>
    </row>
    <row r="192" spans="5:6" x14ac:dyDescent="0.35">
      <c r="E192" s="56">
        <v>3082455657</v>
      </c>
      <c r="F192" s="57" t="s">
        <v>1297</v>
      </c>
    </row>
    <row r="193" spans="5:6" x14ac:dyDescent="0.35">
      <c r="E193" s="56">
        <v>3082470039</v>
      </c>
      <c r="F193" s="57" t="s">
        <v>1298</v>
      </c>
    </row>
    <row r="194" spans="5:6" x14ac:dyDescent="0.35">
      <c r="E194" s="56">
        <v>965</v>
      </c>
      <c r="F194" s="57" t="s">
        <v>1299</v>
      </c>
    </row>
    <row r="195" spans="5:6" x14ac:dyDescent="0.35">
      <c r="E195" s="56">
        <v>3082470500</v>
      </c>
      <c r="F195" s="57" t="s">
        <v>1300</v>
      </c>
    </row>
    <row r="196" spans="5:6" x14ac:dyDescent="0.35">
      <c r="E196" s="56">
        <v>3082467319</v>
      </c>
      <c r="F196" s="57" t="s">
        <v>1301</v>
      </c>
    </row>
    <row r="197" spans="5:6" x14ac:dyDescent="0.35">
      <c r="E197" s="56">
        <v>3082469446</v>
      </c>
      <c r="F197" s="57" t="s">
        <v>1302</v>
      </c>
    </row>
    <row r="198" spans="5:6" x14ac:dyDescent="0.35">
      <c r="E198" s="56">
        <v>3082467359</v>
      </c>
      <c r="F198" s="57" t="s">
        <v>1303</v>
      </c>
    </row>
    <row r="199" spans="5:6" x14ac:dyDescent="0.35">
      <c r="E199" s="56">
        <v>3082456102</v>
      </c>
      <c r="F199" s="57" t="s">
        <v>1304</v>
      </c>
    </row>
    <row r="200" spans="5:6" x14ac:dyDescent="0.35">
      <c r="E200" s="56">
        <v>3082469856</v>
      </c>
      <c r="F200" s="57" t="s">
        <v>1305</v>
      </c>
    </row>
    <row r="201" spans="5:6" x14ac:dyDescent="0.35">
      <c r="E201" s="56">
        <v>3092463215</v>
      </c>
      <c r="F201" s="57" t="s">
        <v>1306</v>
      </c>
    </row>
    <row r="202" spans="5:6" x14ac:dyDescent="0.35">
      <c r="E202" s="56">
        <v>3085214483</v>
      </c>
      <c r="F202" s="57" t="s">
        <v>1307</v>
      </c>
    </row>
    <row r="203" spans="5:6" x14ac:dyDescent="0.35">
      <c r="E203" s="56">
        <v>3091509806</v>
      </c>
      <c r="F203" s="57" t="s">
        <v>1308</v>
      </c>
    </row>
    <row r="204" spans="5:6" x14ac:dyDescent="0.35">
      <c r="E204" s="56">
        <v>3095800370</v>
      </c>
      <c r="F204" s="57" t="s">
        <v>1309</v>
      </c>
    </row>
    <row r="205" spans="5:6" x14ac:dyDescent="0.35">
      <c r="E205" s="56">
        <v>3082466589</v>
      </c>
      <c r="F205" s="57" t="s">
        <v>1310</v>
      </c>
    </row>
    <row r="206" spans="5:6" x14ac:dyDescent="0.35">
      <c r="E206" s="56">
        <v>3092535385</v>
      </c>
      <c r="F206" s="57" t="s">
        <v>1311</v>
      </c>
    </row>
    <row r="207" spans="5:6" x14ac:dyDescent="0.35">
      <c r="E207" s="56">
        <v>4002845642</v>
      </c>
      <c r="F207" s="57" t="s">
        <v>1312</v>
      </c>
    </row>
    <row r="208" spans="5:6" x14ac:dyDescent="0.35">
      <c r="E208" s="56">
        <v>3082471553</v>
      </c>
      <c r="F208" s="57" t="s">
        <v>1313</v>
      </c>
    </row>
    <row r="209" spans="5:6" x14ac:dyDescent="0.35">
      <c r="E209" s="56">
        <v>3082467308</v>
      </c>
      <c r="F209" s="57" t="s">
        <v>1314</v>
      </c>
    </row>
    <row r="210" spans="5:6" x14ac:dyDescent="0.35">
      <c r="E210" s="56">
        <v>3082819289</v>
      </c>
      <c r="F210" s="57" t="s">
        <v>1315</v>
      </c>
    </row>
    <row r="211" spans="5:6" x14ac:dyDescent="0.35">
      <c r="E211" s="56">
        <v>4003452525</v>
      </c>
      <c r="F211" s="57" t="s">
        <v>1316</v>
      </c>
    </row>
    <row r="212" spans="5:6" x14ac:dyDescent="0.35">
      <c r="E212" s="56">
        <v>3085024140</v>
      </c>
      <c r="F212" s="57" t="s">
        <v>1317</v>
      </c>
    </row>
    <row r="213" spans="5:6" x14ac:dyDescent="0.35">
      <c r="E213" s="56">
        <v>3082467558</v>
      </c>
      <c r="F213" s="57" t="s">
        <v>1318</v>
      </c>
    </row>
    <row r="214" spans="5:6" x14ac:dyDescent="0.35">
      <c r="E214" s="56">
        <v>3082470106</v>
      </c>
      <c r="F214" s="57" t="s">
        <v>1319</v>
      </c>
    </row>
    <row r="215" spans="5:6" x14ac:dyDescent="0.35">
      <c r="E215" s="56">
        <v>3095650274</v>
      </c>
      <c r="F215" s="57" t="s">
        <v>1320</v>
      </c>
    </row>
    <row r="216" spans="5:6" x14ac:dyDescent="0.35">
      <c r="E216" s="56">
        <v>3082470076</v>
      </c>
      <c r="F216" s="57" t="s">
        <v>1321</v>
      </c>
    </row>
    <row r="217" spans="5:6" x14ac:dyDescent="0.35">
      <c r="E217" s="56">
        <v>3095124223</v>
      </c>
      <c r="F217" s="57" t="s">
        <v>1322</v>
      </c>
    </row>
    <row r="218" spans="5:6" x14ac:dyDescent="0.35">
      <c r="E218" s="56">
        <v>3085137357</v>
      </c>
      <c r="F218" s="57" t="s">
        <v>1323</v>
      </c>
    </row>
    <row r="219" spans="5:6" x14ac:dyDescent="0.35">
      <c r="E219" s="56">
        <v>3082464196</v>
      </c>
      <c r="F219" s="57" t="s">
        <v>1324</v>
      </c>
    </row>
    <row r="220" spans="5:6" x14ac:dyDescent="0.35">
      <c r="E220" s="56">
        <v>8464</v>
      </c>
      <c r="F220" s="57" t="s">
        <v>1325</v>
      </c>
    </row>
    <row r="221" spans="5:6" x14ac:dyDescent="0.35">
      <c r="E221" s="56">
        <v>3085671350</v>
      </c>
      <c r="F221" s="57" t="s">
        <v>1326</v>
      </c>
    </row>
    <row r="222" spans="5:6" x14ac:dyDescent="0.35">
      <c r="E222" s="56">
        <v>3083191274</v>
      </c>
      <c r="F222" s="57" t="s">
        <v>1327</v>
      </c>
    </row>
    <row r="223" spans="5:6" x14ac:dyDescent="0.35">
      <c r="E223" s="56">
        <v>4002750181</v>
      </c>
      <c r="F223" s="57" t="s">
        <v>1328</v>
      </c>
    </row>
    <row r="224" spans="5:6" x14ac:dyDescent="0.35">
      <c r="E224" s="56">
        <v>4003080852</v>
      </c>
      <c r="F224" s="57" t="s">
        <v>1329</v>
      </c>
    </row>
    <row r="225" spans="5:6" x14ac:dyDescent="0.35">
      <c r="E225" s="56">
        <v>11555</v>
      </c>
      <c r="F225" s="57" t="s">
        <v>1330</v>
      </c>
    </row>
    <row r="226" spans="5:6" x14ac:dyDescent="0.35">
      <c r="E226" s="56">
        <v>3085266026</v>
      </c>
      <c r="F226" s="57" t="s">
        <v>1331</v>
      </c>
    </row>
    <row r="227" spans="5:6" x14ac:dyDescent="0.35">
      <c r="E227" s="56">
        <v>3093284483</v>
      </c>
      <c r="F227" s="57" t="s">
        <v>1332</v>
      </c>
    </row>
    <row r="228" spans="5:6" x14ac:dyDescent="0.35">
      <c r="E228" s="56">
        <v>3082467362</v>
      </c>
      <c r="F228" s="57" t="s">
        <v>1333</v>
      </c>
    </row>
    <row r="229" spans="5:6" x14ac:dyDescent="0.35">
      <c r="E229" s="56">
        <v>3082470573</v>
      </c>
      <c r="F229" s="57" t="s">
        <v>1334</v>
      </c>
    </row>
    <row r="230" spans="5:6" x14ac:dyDescent="0.35">
      <c r="E230" s="56">
        <v>3082469849</v>
      </c>
      <c r="F230" s="57" t="s">
        <v>1335</v>
      </c>
    </row>
    <row r="231" spans="5:6" x14ac:dyDescent="0.35">
      <c r="E231" s="56">
        <v>3083266544</v>
      </c>
      <c r="F231" s="57" t="s">
        <v>1336</v>
      </c>
    </row>
    <row r="232" spans="5:6" x14ac:dyDescent="0.35">
      <c r="E232" s="56">
        <v>3083286221</v>
      </c>
      <c r="F232" s="57" t="s">
        <v>1337</v>
      </c>
    </row>
    <row r="233" spans="5:6" x14ac:dyDescent="0.35">
      <c r="E233" s="56">
        <v>3082470111</v>
      </c>
      <c r="F233" s="57" t="s">
        <v>1338</v>
      </c>
    </row>
    <row r="234" spans="5:6" x14ac:dyDescent="0.35">
      <c r="E234" s="56">
        <v>3082471849</v>
      </c>
      <c r="F234" s="57" t="s">
        <v>1339</v>
      </c>
    </row>
    <row r="235" spans="5:6" x14ac:dyDescent="0.35">
      <c r="E235" s="56">
        <v>3082469441</v>
      </c>
      <c r="F235" s="57" t="s">
        <v>1340</v>
      </c>
    </row>
    <row r="236" spans="5:6" x14ac:dyDescent="0.35">
      <c r="E236" s="56">
        <v>3085660448</v>
      </c>
      <c r="F236" s="57" t="s">
        <v>1341</v>
      </c>
    </row>
    <row r="237" spans="5:6" x14ac:dyDescent="0.35">
      <c r="E237" s="56">
        <v>3082466878</v>
      </c>
      <c r="F237" s="57" t="s">
        <v>1342</v>
      </c>
    </row>
    <row r="238" spans="5:6" x14ac:dyDescent="0.35">
      <c r="E238" s="56">
        <v>3095058700</v>
      </c>
      <c r="F238" s="57" t="s">
        <v>1343</v>
      </c>
    </row>
    <row r="239" spans="5:6" x14ac:dyDescent="0.35">
      <c r="E239" s="56">
        <v>3082469826</v>
      </c>
      <c r="F239" s="57" t="s">
        <v>1344</v>
      </c>
    </row>
    <row r="240" spans="5:6" x14ac:dyDescent="0.35">
      <c r="E240" s="56">
        <v>4003378357</v>
      </c>
      <c r="F240" s="57" t="s">
        <v>1345</v>
      </c>
    </row>
    <row r="241" spans="5:6" x14ac:dyDescent="0.35">
      <c r="E241" s="56">
        <v>3082470504</v>
      </c>
      <c r="F241" s="57" t="s">
        <v>1346</v>
      </c>
    </row>
    <row r="242" spans="5:6" x14ac:dyDescent="0.35">
      <c r="E242" s="56">
        <v>3092582813</v>
      </c>
      <c r="F242" s="57" t="s">
        <v>1347</v>
      </c>
    </row>
    <row r="243" spans="5:6" x14ac:dyDescent="0.35">
      <c r="E243" s="56">
        <v>3082469351</v>
      </c>
      <c r="F243" s="57" t="s">
        <v>1348</v>
      </c>
    </row>
    <row r="244" spans="5:6" x14ac:dyDescent="0.35">
      <c r="E244" s="56">
        <v>3082467425</v>
      </c>
      <c r="F244" s="57" t="s">
        <v>1349</v>
      </c>
    </row>
    <row r="245" spans="5:6" x14ac:dyDescent="0.35">
      <c r="E245" s="56">
        <v>4003832851</v>
      </c>
      <c r="F245" s="57" t="s">
        <v>1350</v>
      </c>
    </row>
    <row r="246" spans="5:6" x14ac:dyDescent="0.35">
      <c r="E246" s="56">
        <v>3082467434</v>
      </c>
      <c r="F246" s="57" t="s">
        <v>1351</v>
      </c>
    </row>
    <row r="247" spans="5:6" x14ac:dyDescent="0.35">
      <c r="E247" s="56">
        <v>4003973415</v>
      </c>
      <c r="F247" s="57" t="s">
        <v>1352</v>
      </c>
    </row>
    <row r="248" spans="5:6" x14ac:dyDescent="0.35">
      <c r="E248" s="56">
        <v>9269</v>
      </c>
      <c r="F248" s="57" t="s">
        <v>1353</v>
      </c>
    </row>
    <row r="249" spans="5:6" x14ac:dyDescent="0.35">
      <c r="E249" s="56">
        <v>3083286222</v>
      </c>
      <c r="F249" s="57" t="s">
        <v>1354</v>
      </c>
    </row>
    <row r="250" spans="5:6" x14ac:dyDescent="0.35">
      <c r="E250" s="56">
        <v>3082620920</v>
      </c>
      <c r="F250" s="57" t="s">
        <v>1355</v>
      </c>
    </row>
    <row r="251" spans="5:6" x14ac:dyDescent="0.35">
      <c r="E251" s="56">
        <v>3092470755</v>
      </c>
      <c r="F251" s="57" t="s">
        <v>1356</v>
      </c>
    </row>
    <row r="252" spans="5:6" x14ac:dyDescent="0.35">
      <c r="E252" s="56">
        <v>3082471191</v>
      </c>
      <c r="F252" s="57" t="s">
        <v>1357</v>
      </c>
    </row>
    <row r="253" spans="5:6" x14ac:dyDescent="0.35">
      <c r="E253" s="56">
        <v>3095397918</v>
      </c>
      <c r="F253" s="57" t="s">
        <v>1358</v>
      </c>
    </row>
    <row r="254" spans="5:6" x14ac:dyDescent="0.35">
      <c r="E254" s="56">
        <v>4001856615</v>
      </c>
      <c r="F254" s="57" t="s">
        <v>1359</v>
      </c>
    </row>
    <row r="255" spans="5:6" x14ac:dyDescent="0.35">
      <c r="E255" s="56">
        <v>3082471180</v>
      </c>
      <c r="F255" s="57" t="s">
        <v>1360</v>
      </c>
    </row>
    <row r="256" spans="5:6" x14ac:dyDescent="0.35">
      <c r="E256" s="56">
        <v>3082467448</v>
      </c>
      <c r="F256" s="57" t="s">
        <v>1361</v>
      </c>
    </row>
    <row r="257" spans="5:6" x14ac:dyDescent="0.35">
      <c r="E257" s="56">
        <v>3085348932</v>
      </c>
      <c r="F257" s="57" t="s">
        <v>1362</v>
      </c>
    </row>
    <row r="258" spans="5:6" x14ac:dyDescent="0.35">
      <c r="E258" s="56">
        <v>3085617491</v>
      </c>
      <c r="F258" s="57" t="s">
        <v>1363</v>
      </c>
    </row>
    <row r="259" spans="5:6" x14ac:dyDescent="0.35">
      <c r="E259" s="56">
        <v>3085291790</v>
      </c>
      <c r="F259" s="57" t="s">
        <v>1364</v>
      </c>
    </row>
    <row r="260" spans="5:6" x14ac:dyDescent="0.35">
      <c r="E260" s="56">
        <v>30499089</v>
      </c>
      <c r="F260" s="57" t="s">
        <v>1365</v>
      </c>
    </row>
    <row r="261" spans="5:6" x14ac:dyDescent="0.35">
      <c r="E261" s="56">
        <v>3095297267</v>
      </c>
      <c r="F261" s="57" t="s">
        <v>1366</v>
      </c>
    </row>
    <row r="262" spans="5:6" x14ac:dyDescent="0.35">
      <c r="E262" s="56">
        <v>3082470420</v>
      </c>
      <c r="F262" s="57" t="s">
        <v>1367</v>
      </c>
    </row>
    <row r="263" spans="5:6" x14ac:dyDescent="0.35">
      <c r="E263" s="56">
        <v>716404</v>
      </c>
      <c r="F263" s="57" t="s">
        <v>1368</v>
      </c>
    </row>
    <row r="264" spans="5:6" x14ac:dyDescent="0.35">
      <c r="E264" s="56">
        <v>3095114676</v>
      </c>
      <c r="F264" s="57" t="s">
        <v>1369</v>
      </c>
    </row>
    <row r="265" spans="5:6" x14ac:dyDescent="0.35">
      <c r="E265" s="56">
        <v>3085266027</v>
      </c>
      <c r="F265" s="57" t="s">
        <v>1370</v>
      </c>
    </row>
    <row r="266" spans="5:6" x14ac:dyDescent="0.35">
      <c r="E266" s="56">
        <v>3082469337</v>
      </c>
      <c r="F266" s="57" t="s">
        <v>1371</v>
      </c>
    </row>
    <row r="267" spans="5:6" x14ac:dyDescent="0.35">
      <c r="E267" s="56">
        <v>3082467579</v>
      </c>
      <c r="F267" s="57" t="s">
        <v>1372</v>
      </c>
    </row>
    <row r="268" spans="5:6" x14ac:dyDescent="0.35">
      <c r="E268" s="56">
        <v>4003543216</v>
      </c>
      <c r="F268" s="57" t="s">
        <v>1373</v>
      </c>
    </row>
    <row r="269" spans="5:6" x14ac:dyDescent="0.35">
      <c r="E269" s="56">
        <v>3085039127</v>
      </c>
      <c r="F269" s="57" t="s">
        <v>1374</v>
      </c>
    </row>
    <row r="270" spans="5:6" x14ac:dyDescent="0.35">
      <c r="E270" s="56">
        <v>3095358548</v>
      </c>
      <c r="F270" s="57" t="s">
        <v>1375</v>
      </c>
    </row>
    <row r="271" spans="5:6" x14ac:dyDescent="0.35">
      <c r="E271" s="56">
        <v>3085125469</v>
      </c>
      <c r="F271" s="57" t="s">
        <v>1376</v>
      </c>
    </row>
    <row r="272" spans="5:6" x14ac:dyDescent="0.35">
      <c r="E272" s="56">
        <v>4002095058</v>
      </c>
      <c r="F272" s="57" t="s">
        <v>1377</v>
      </c>
    </row>
    <row r="273" spans="5:6" x14ac:dyDescent="0.35">
      <c r="E273" s="56">
        <v>3085652504</v>
      </c>
      <c r="F273" s="57" t="s">
        <v>1378</v>
      </c>
    </row>
    <row r="274" spans="5:6" x14ac:dyDescent="0.35">
      <c r="E274" s="56">
        <v>4003488812</v>
      </c>
      <c r="F274" s="57" t="s">
        <v>1379</v>
      </c>
    </row>
    <row r="275" spans="5:6" x14ac:dyDescent="0.35">
      <c r="E275" s="56">
        <v>3082966629</v>
      </c>
      <c r="F275" s="57" t="s">
        <v>1380</v>
      </c>
    </row>
    <row r="276" spans="5:6" x14ac:dyDescent="0.35">
      <c r="E276" s="56">
        <v>3095058717</v>
      </c>
      <c r="F276" s="57" t="s">
        <v>1381</v>
      </c>
    </row>
    <row r="277" spans="5:6" x14ac:dyDescent="0.35">
      <c r="E277" s="56">
        <v>3082470274</v>
      </c>
      <c r="F277" s="57" t="s">
        <v>1382</v>
      </c>
    </row>
    <row r="278" spans="5:6" x14ac:dyDescent="0.35">
      <c r="E278" s="56">
        <v>3082470484</v>
      </c>
      <c r="F278" s="57" t="s">
        <v>1383</v>
      </c>
    </row>
    <row r="279" spans="5:6" x14ac:dyDescent="0.35">
      <c r="E279" s="56">
        <v>3085024464</v>
      </c>
      <c r="F279" s="57" t="s">
        <v>1384</v>
      </c>
    </row>
    <row r="280" spans="5:6" x14ac:dyDescent="0.35">
      <c r="E280" s="56">
        <v>3083096159</v>
      </c>
      <c r="F280" s="57" t="s">
        <v>1385</v>
      </c>
    </row>
    <row r="281" spans="5:6" x14ac:dyDescent="0.35">
      <c r="E281" s="56">
        <v>4002855948</v>
      </c>
      <c r="F281" s="57" t="s">
        <v>1386</v>
      </c>
    </row>
    <row r="282" spans="5:6" x14ac:dyDescent="0.35">
      <c r="E282" s="56">
        <v>4004044110</v>
      </c>
      <c r="F282" s="57" t="s">
        <v>1387</v>
      </c>
    </row>
    <row r="283" spans="5:6" x14ac:dyDescent="0.35">
      <c r="E283" s="56">
        <v>3092460547</v>
      </c>
      <c r="F283" s="57" t="s">
        <v>1388</v>
      </c>
    </row>
    <row r="284" spans="5:6" x14ac:dyDescent="0.35">
      <c r="E284" s="56">
        <v>4003435596</v>
      </c>
      <c r="F284" s="57" t="s">
        <v>1389</v>
      </c>
    </row>
    <row r="285" spans="5:6" x14ac:dyDescent="0.35">
      <c r="E285" s="56">
        <v>3092982493</v>
      </c>
      <c r="F285" s="57" t="s">
        <v>1390</v>
      </c>
    </row>
    <row r="286" spans="5:6" x14ac:dyDescent="0.35">
      <c r="E286" s="56">
        <v>3085620683</v>
      </c>
      <c r="F286" s="57" t="s">
        <v>1391</v>
      </c>
    </row>
    <row r="287" spans="5:6" x14ac:dyDescent="0.35">
      <c r="E287" s="56">
        <v>3092470735</v>
      </c>
      <c r="F287" s="57" t="s">
        <v>1392</v>
      </c>
    </row>
    <row r="288" spans="5:6" x14ac:dyDescent="0.35">
      <c r="E288" s="56">
        <v>24698067</v>
      </c>
      <c r="F288" s="57" t="s">
        <v>1393</v>
      </c>
    </row>
    <row r="289" spans="5:6" x14ac:dyDescent="0.35">
      <c r="E289" s="56">
        <v>3085570873</v>
      </c>
      <c r="F289" s="57" t="s">
        <v>1394</v>
      </c>
    </row>
    <row r="290" spans="5:6" x14ac:dyDescent="0.35">
      <c r="E290" s="56">
        <v>4003486548</v>
      </c>
      <c r="F290" s="57" t="s">
        <v>1395</v>
      </c>
    </row>
    <row r="291" spans="5:6" x14ac:dyDescent="0.35">
      <c r="E291" s="56">
        <v>3092460886</v>
      </c>
      <c r="F291" s="57" t="s">
        <v>1396</v>
      </c>
    </row>
    <row r="292" spans="5:6" x14ac:dyDescent="0.35">
      <c r="E292" s="56">
        <v>3095264259</v>
      </c>
      <c r="F292" s="57" t="s">
        <v>1397</v>
      </c>
    </row>
    <row r="293" spans="5:6" x14ac:dyDescent="0.35">
      <c r="E293" s="56">
        <v>3092473307</v>
      </c>
      <c r="F293" s="57" t="s">
        <v>1398</v>
      </c>
    </row>
    <row r="294" spans="5:6" x14ac:dyDescent="0.35">
      <c r="E294" s="56">
        <v>3082467572</v>
      </c>
      <c r="F294" s="57" t="s">
        <v>1399</v>
      </c>
    </row>
    <row r="295" spans="5:6" x14ac:dyDescent="0.35">
      <c r="E295" s="56">
        <v>3085476085</v>
      </c>
      <c r="F295" s="57" t="s">
        <v>1400</v>
      </c>
    </row>
    <row r="296" spans="5:6" x14ac:dyDescent="0.35">
      <c r="E296" s="56">
        <v>4002777989</v>
      </c>
      <c r="F296" s="57" t="s">
        <v>1401</v>
      </c>
    </row>
    <row r="297" spans="5:6" x14ac:dyDescent="0.35">
      <c r="E297" s="56">
        <v>4003796273</v>
      </c>
      <c r="F297" s="57" t="s">
        <v>1402</v>
      </c>
    </row>
    <row r="298" spans="5:6" x14ac:dyDescent="0.35">
      <c r="E298" s="56">
        <v>3083290120</v>
      </c>
      <c r="F298" s="57" t="s">
        <v>1403</v>
      </c>
    </row>
    <row r="299" spans="5:6" x14ac:dyDescent="0.35">
      <c r="E299" s="56">
        <v>3085174924</v>
      </c>
      <c r="F299" s="57" t="s">
        <v>1404</v>
      </c>
    </row>
    <row r="300" spans="5:6" x14ac:dyDescent="0.35">
      <c r="E300" s="56">
        <v>3082471312</v>
      </c>
      <c r="F300" s="57" t="s">
        <v>1405</v>
      </c>
    </row>
    <row r="301" spans="5:6" x14ac:dyDescent="0.35">
      <c r="E301" s="56">
        <v>16469</v>
      </c>
      <c r="F301" s="57" t="s">
        <v>1406</v>
      </c>
    </row>
    <row r="302" spans="5:6" x14ac:dyDescent="0.35">
      <c r="E302" s="56">
        <v>3092467870</v>
      </c>
      <c r="F302" s="57" t="s">
        <v>1407</v>
      </c>
    </row>
    <row r="303" spans="5:6" x14ac:dyDescent="0.35">
      <c r="E303" s="56">
        <v>4001434187</v>
      </c>
      <c r="F303" s="57" t="s">
        <v>1408</v>
      </c>
    </row>
    <row r="304" spans="5:6" x14ac:dyDescent="0.35">
      <c r="E304" s="56">
        <v>3093214688</v>
      </c>
      <c r="F304" s="57" t="s">
        <v>1409</v>
      </c>
    </row>
    <row r="305" spans="5:6" x14ac:dyDescent="0.35">
      <c r="E305" s="56">
        <v>3092460691</v>
      </c>
      <c r="F305" s="57" t="s">
        <v>1410</v>
      </c>
    </row>
    <row r="306" spans="5:6" x14ac:dyDescent="0.35">
      <c r="E306" s="56">
        <v>3082469747</v>
      </c>
      <c r="F306" s="57" t="s">
        <v>1411</v>
      </c>
    </row>
    <row r="307" spans="5:6" x14ac:dyDescent="0.35">
      <c r="E307" s="56">
        <v>3082470617</v>
      </c>
      <c r="F307" s="57" t="s">
        <v>1412</v>
      </c>
    </row>
    <row r="308" spans="5:6" x14ac:dyDescent="0.35">
      <c r="E308" s="56">
        <v>3081911564</v>
      </c>
      <c r="F308" s="57" t="s">
        <v>1413</v>
      </c>
    </row>
    <row r="309" spans="5:6" x14ac:dyDescent="0.35">
      <c r="E309" s="56">
        <v>3085674709</v>
      </c>
      <c r="F309" s="57" t="s">
        <v>1414</v>
      </c>
    </row>
    <row r="310" spans="5:6" x14ac:dyDescent="0.35">
      <c r="E310" s="56">
        <v>3085723198</v>
      </c>
      <c r="F310" s="57" t="s">
        <v>1415</v>
      </c>
    </row>
    <row r="311" spans="5:6" x14ac:dyDescent="0.35">
      <c r="E311" s="56">
        <v>3083353975</v>
      </c>
      <c r="F311" s="57" t="s">
        <v>1416</v>
      </c>
    </row>
    <row r="312" spans="5:6" x14ac:dyDescent="0.35">
      <c r="E312" s="56">
        <v>3082466856</v>
      </c>
      <c r="F312" s="57" t="s">
        <v>1417</v>
      </c>
    </row>
    <row r="313" spans="5:6" x14ac:dyDescent="0.35">
      <c r="E313" s="56">
        <v>4004135614</v>
      </c>
      <c r="F313" s="57" t="s">
        <v>1418</v>
      </c>
    </row>
    <row r="314" spans="5:6" x14ac:dyDescent="0.35">
      <c r="E314" s="56">
        <v>3083023611</v>
      </c>
      <c r="F314" s="57" t="s">
        <v>1419</v>
      </c>
    </row>
    <row r="315" spans="5:6" x14ac:dyDescent="0.35">
      <c r="E315" s="56">
        <v>3095653821</v>
      </c>
      <c r="F315" s="57" t="s">
        <v>1420</v>
      </c>
    </row>
    <row r="316" spans="5:6" x14ac:dyDescent="0.35">
      <c r="E316" s="56">
        <v>3092464228</v>
      </c>
      <c r="F316" s="57" t="s">
        <v>1421</v>
      </c>
    </row>
    <row r="317" spans="5:6" x14ac:dyDescent="0.35">
      <c r="E317" s="56">
        <v>3092946091</v>
      </c>
      <c r="F317" s="57" t="s">
        <v>1422</v>
      </c>
    </row>
    <row r="318" spans="5:6" x14ac:dyDescent="0.35">
      <c r="E318" s="56">
        <v>3085131122</v>
      </c>
      <c r="F318" s="57" t="s">
        <v>1423</v>
      </c>
    </row>
    <row r="319" spans="5:6" x14ac:dyDescent="0.35">
      <c r="E319" s="56">
        <v>3082454887</v>
      </c>
      <c r="F319" s="57" t="s">
        <v>1424</v>
      </c>
    </row>
    <row r="320" spans="5:6" x14ac:dyDescent="0.35">
      <c r="E320" s="56">
        <v>1004962981</v>
      </c>
      <c r="F320" s="57" t="s">
        <v>1425</v>
      </c>
    </row>
    <row r="321" spans="5:6" x14ac:dyDescent="0.35">
      <c r="E321" s="56">
        <v>3082467053</v>
      </c>
      <c r="F321" s="57" t="s">
        <v>1426</v>
      </c>
    </row>
    <row r="322" spans="5:6" x14ac:dyDescent="0.35">
      <c r="E322" s="56">
        <v>3082910149</v>
      </c>
      <c r="F322" s="57" t="s">
        <v>1427</v>
      </c>
    </row>
    <row r="323" spans="5:6" x14ac:dyDescent="0.35">
      <c r="E323" s="56">
        <v>3092460888</v>
      </c>
      <c r="F323" s="57" t="s">
        <v>1428</v>
      </c>
    </row>
    <row r="324" spans="5:6" x14ac:dyDescent="0.35">
      <c r="E324" s="56">
        <v>3082434432</v>
      </c>
      <c r="F324" s="57" t="s">
        <v>1429</v>
      </c>
    </row>
    <row r="325" spans="5:6" x14ac:dyDescent="0.35">
      <c r="E325" s="56">
        <v>4002649083</v>
      </c>
      <c r="F325" s="57" t="s">
        <v>1430</v>
      </c>
    </row>
    <row r="326" spans="5:6" x14ac:dyDescent="0.35">
      <c r="E326" s="56">
        <v>3092460461</v>
      </c>
      <c r="F326" s="57" t="s">
        <v>1431</v>
      </c>
    </row>
    <row r="327" spans="5:6" x14ac:dyDescent="0.35">
      <c r="E327" s="56">
        <v>4003458889</v>
      </c>
      <c r="F327" s="57" t="s">
        <v>1432</v>
      </c>
    </row>
    <row r="328" spans="5:6" x14ac:dyDescent="0.35">
      <c r="E328" s="56">
        <v>3092460891</v>
      </c>
      <c r="F328" s="57" t="s">
        <v>1433</v>
      </c>
    </row>
    <row r="329" spans="5:6" x14ac:dyDescent="0.35">
      <c r="E329" s="56">
        <v>3082469766</v>
      </c>
      <c r="F329" s="57" t="s">
        <v>1434</v>
      </c>
    </row>
    <row r="330" spans="5:6" x14ac:dyDescent="0.35">
      <c r="E330" s="56">
        <v>4002313466</v>
      </c>
      <c r="F330" s="57" t="s">
        <v>1435</v>
      </c>
    </row>
    <row r="331" spans="5:6" x14ac:dyDescent="0.35">
      <c r="E331" s="56">
        <v>24698725</v>
      </c>
      <c r="F331" s="57" t="s">
        <v>1436</v>
      </c>
    </row>
    <row r="332" spans="5:6" x14ac:dyDescent="0.35">
      <c r="E332" s="56">
        <v>3085087515</v>
      </c>
      <c r="F332" s="57" t="s">
        <v>1437</v>
      </c>
    </row>
    <row r="333" spans="5:6" x14ac:dyDescent="0.35">
      <c r="E333" s="56">
        <v>7047</v>
      </c>
      <c r="F333" s="57" t="s">
        <v>1438</v>
      </c>
    </row>
    <row r="334" spans="5:6" x14ac:dyDescent="0.35">
      <c r="E334" s="56">
        <v>3082070480</v>
      </c>
      <c r="F334" s="57" t="s">
        <v>1439</v>
      </c>
    </row>
    <row r="335" spans="5:6" x14ac:dyDescent="0.35">
      <c r="E335" s="56">
        <v>3082466525</v>
      </c>
      <c r="F335" s="57" t="s">
        <v>1440</v>
      </c>
    </row>
    <row r="336" spans="5:6" x14ac:dyDescent="0.35">
      <c r="E336" s="56">
        <v>3083297612</v>
      </c>
      <c r="F336" s="57" t="s">
        <v>1441</v>
      </c>
    </row>
    <row r="337" spans="5:6" x14ac:dyDescent="0.35">
      <c r="E337" s="56">
        <v>3082129433</v>
      </c>
      <c r="F337" s="57" t="s">
        <v>1442</v>
      </c>
    </row>
    <row r="338" spans="5:6" x14ac:dyDescent="0.35">
      <c r="E338" s="56">
        <v>4002780050</v>
      </c>
      <c r="F338" s="57" t="s">
        <v>1443</v>
      </c>
    </row>
    <row r="339" spans="5:6" x14ac:dyDescent="0.35">
      <c r="E339" s="56">
        <v>3082471251</v>
      </c>
      <c r="F339" s="57" t="s">
        <v>1444</v>
      </c>
    </row>
    <row r="340" spans="5:6" x14ac:dyDescent="0.35">
      <c r="E340" s="56">
        <v>4002319413</v>
      </c>
      <c r="F340" s="57" t="s">
        <v>1445</v>
      </c>
    </row>
    <row r="341" spans="5:6" x14ac:dyDescent="0.35">
      <c r="E341" s="56">
        <v>11346</v>
      </c>
      <c r="F341" s="57" t="s">
        <v>1446</v>
      </c>
    </row>
    <row r="342" spans="5:6" x14ac:dyDescent="0.35">
      <c r="E342" s="56">
        <v>3083321365</v>
      </c>
      <c r="F342" s="57" t="s">
        <v>1447</v>
      </c>
    </row>
    <row r="343" spans="5:6" x14ac:dyDescent="0.35">
      <c r="E343" s="56">
        <v>3082458600</v>
      </c>
      <c r="F343" s="57" t="s">
        <v>1448</v>
      </c>
    </row>
    <row r="344" spans="5:6" x14ac:dyDescent="0.35">
      <c r="E344" s="56">
        <v>4001574898</v>
      </c>
      <c r="F344" s="57" t="s">
        <v>1449</v>
      </c>
    </row>
    <row r="345" spans="5:6" x14ac:dyDescent="0.35">
      <c r="E345" s="56">
        <v>3085015339</v>
      </c>
      <c r="F345" s="57" t="s">
        <v>1450</v>
      </c>
    </row>
    <row r="346" spans="5:6" x14ac:dyDescent="0.35">
      <c r="E346" s="56">
        <v>3082471213</v>
      </c>
      <c r="F346" s="57" t="s">
        <v>1451</v>
      </c>
    </row>
    <row r="347" spans="5:6" x14ac:dyDescent="0.35">
      <c r="E347" s="56">
        <v>3082692884</v>
      </c>
      <c r="F347" s="57" t="s">
        <v>1452</v>
      </c>
    </row>
    <row r="348" spans="5:6" x14ac:dyDescent="0.35">
      <c r="E348" s="56">
        <v>3082714911</v>
      </c>
      <c r="F348" s="57" t="s">
        <v>1453</v>
      </c>
    </row>
    <row r="349" spans="5:6" x14ac:dyDescent="0.35">
      <c r="E349" s="56">
        <v>7782</v>
      </c>
      <c r="F349" s="57" t="s">
        <v>1454</v>
      </c>
    </row>
    <row r="350" spans="5:6" x14ac:dyDescent="0.35">
      <c r="E350" s="56">
        <v>8269</v>
      </c>
      <c r="F350" s="57" t="s">
        <v>1455</v>
      </c>
    </row>
    <row r="351" spans="5:6" x14ac:dyDescent="0.35">
      <c r="E351" s="56">
        <v>9416</v>
      </c>
      <c r="F351" s="57" t="s">
        <v>1456</v>
      </c>
    </row>
    <row r="352" spans="5:6" x14ac:dyDescent="0.35">
      <c r="E352" s="56">
        <v>11482</v>
      </c>
      <c r="F352" s="57" t="s">
        <v>1457</v>
      </c>
    </row>
    <row r="353" spans="5:6" x14ac:dyDescent="0.35">
      <c r="E353" s="56">
        <v>24672050</v>
      </c>
      <c r="F353" s="57" t="s">
        <v>1458</v>
      </c>
    </row>
    <row r="354" spans="5:6" x14ac:dyDescent="0.35">
      <c r="E354" s="56">
        <v>39673</v>
      </c>
      <c r="F354" s="57" t="s">
        <v>1459</v>
      </c>
    </row>
    <row r="355" spans="5:6" x14ac:dyDescent="0.35">
      <c r="E355" s="56">
        <v>4003813414</v>
      </c>
      <c r="F355" s="57" t="s">
        <v>1460</v>
      </c>
    </row>
    <row r="356" spans="5:6" x14ac:dyDescent="0.35">
      <c r="E356" s="56">
        <v>4003384268</v>
      </c>
      <c r="F356" s="57" t="s">
        <v>1461</v>
      </c>
    </row>
    <row r="357" spans="5:6" x14ac:dyDescent="0.35">
      <c r="E357" s="56">
        <v>3082471186</v>
      </c>
      <c r="F357" s="57" t="s">
        <v>1462</v>
      </c>
    </row>
    <row r="358" spans="5:6" x14ac:dyDescent="0.35">
      <c r="E358" s="56">
        <v>4002631209</v>
      </c>
      <c r="F358" s="57" t="s">
        <v>1463</v>
      </c>
    </row>
    <row r="359" spans="5:6" x14ac:dyDescent="0.35">
      <c r="E359" s="56">
        <v>3082469586</v>
      </c>
      <c r="F359" s="57" t="s">
        <v>1464</v>
      </c>
    </row>
    <row r="360" spans="5:6" x14ac:dyDescent="0.35">
      <c r="E360" s="56">
        <v>3092470748</v>
      </c>
      <c r="F360" s="57" t="s">
        <v>1465</v>
      </c>
    </row>
    <row r="361" spans="5:6" x14ac:dyDescent="0.35">
      <c r="E361" s="56">
        <v>4001878858</v>
      </c>
      <c r="F361" s="57" t="s">
        <v>1466</v>
      </c>
    </row>
    <row r="362" spans="5:6" x14ac:dyDescent="0.35">
      <c r="E362" s="56">
        <v>4004008012</v>
      </c>
      <c r="F362" s="57" t="s">
        <v>1467</v>
      </c>
    </row>
    <row r="363" spans="5:6" x14ac:dyDescent="0.35">
      <c r="E363" s="56">
        <v>3082469361</v>
      </c>
      <c r="F363" s="57" t="s">
        <v>1468</v>
      </c>
    </row>
    <row r="364" spans="5:6" x14ac:dyDescent="0.35">
      <c r="E364" s="56">
        <v>4003702547</v>
      </c>
      <c r="F364" s="57" t="s">
        <v>1469</v>
      </c>
    </row>
    <row r="365" spans="5:6" x14ac:dyDescent="0.35">
      <c r="E365" s="56">
        <v>4003803720</v>
      </c>
      <c r="F365" s="57" t="s">
        <v>1470</v>
      </c>
    </row>
    <row r="366" spans="5:6" x14ac:dyDescent="0.35">
      <c r="E366" s="56">
        <v>3083215806</v>
      </c>
      <c r="F366" s="57" t="s">
        <v>1471</v>
      </c>
    </row>
    <row r="367" spans="5:6" x14ac:dyDescent="0.35">
      <c r="E367" s="56">
        <v>3092463125</v>
      </c>
      <c r="F367" s="57" t="s">
        <v>1472</v>
      </c>
    </row>
    <row r="368" spans="5:6" x14ac:dyDescent="0.35">
      <c r="E368" s="56">
        <v>3082662089</v>
      </c>
      <c r="F368" s="57" t="s">
        <v>1473</v>
      </c>
    </row>
    <row r="369" spans="5:6" x14ac:dyDescent="0.35">
      <c r="E369" s="56">
        <v>3081908574</v>
      </c>
      <c r="F369" s="57" t="s">
        <v>1474</v>
      </c>
    </row>
    <row r="370" spans="5:6" x14ac:dyDescent="0.35">
      <c r="E370" s="56">
        <v>1071</v>
      </c>
      <c r="F370" s="57" t="s">
        <v>1475</v>
      </c>
    </row>
    <row r="371" spans="5:6" x14ac:dyDescent="0.35">
      <c r="E371" s="56">
        <v>33998</v>
      </c>
      <c r="F371" s="57" t="s">
        <v>1476</v>
      </c>
    </row>
    <row r="372" spans="5:6" x14ac:dyDescent="0.35">
      <c r="E372" s="56">
        <v>716406</v>
      </c>
      <c r="F372" s="57" t="s">
        <v>1477</v>
      </c>
    </row>
    <row r="373" spans="5:6" x14ac:dyDescent="0.35">
      <c r="E373" s="56">
        <v>2402501</v>
      </c>
      <c r="F373" s="57" t="s">
        <v>1478</v>
      </c>
    </row>
    <row r="374" spans="5:6" x14ac:dyDescent="0.35">
      <c r="E374" s="56">
        <v>2784601</v>
      </c>
      <c r="F374" s="57" t="s">
        <v>1479</v>
      </c>
    </row>
    <row r="375" spans="5:6" x14ac:dyDescent="0.35">
      <c r="E375" s="56">
        <v>42629683</v>
      </c>
      <c r="F375" s="57" t="s">
        <v>1480</v>
      </c>
    </row>
    <row r="376" spans="5:6" x14ac:dyDescent="0.35">
      <c r="E376" s="56">
        <v>54887551</v>
      </c>
      <c r="F376" s="57" t="s">
        <v>1481</v>
      </c>
    </row>
    <row r="377" spans="5:6" x14ac:dyDescent="0.35">
      <c r="E377" s="56">
        <v>4001408119</v>
      </c>
      <c r="F377" s="57" t="s">
        <v>1482</v>
      </c>
    </row>
    <row r="378" spans="5:6" x14ac:dyDescent="0.35">
      <c r="E378" s="56">
        <v>4002903281</v>
      </c>
      <c r="F378" s="57" t="s">
        <v>1483</v>
      </c>
    </row>
    <row r="379" spans="5:6" x14ac:dyDescent="0.35">
      <c r="E379" s="56">
        <v>3093126257</v>
      </c>
      <c r="F379" s="57" t="s">
        <v>1484</v>
      </c>
    </row>
    <row r="380" spans="5:6" x14ac:dyDescent="0.35">
      <c r="E380" s="56">
        <v>4003595460</v>
      </c>
      <c r="F380" s="57" t="s">
        <v>1485</v>
      </c>
    </row>
    <row r="381" spans="5:6" x14ac:dyDescent="0.35">
      <c r="E381" s="56">
        <v>4003857414</v>
      </c>
      <c r="F381" s="57" t="s">
        <v>1486</v>
      </c>
    </row>
    <row r="382" spans="5:6" x14ac:dyDescent="0.35">
      <c r="E382" s="56">
        <v>3083277631</v>
      </c>
      <c r="F382" s="57" t="s">
        <v>1487</v>
      </c>
    </row>
    <row r="383" spans="5:6" x14ac:dyDescent="0.35">
      <c r="E383" s="56">
        <v>3082981582</v>
      </c>
      <c r="F383" s="57" t="s">
        <v>1488</v>
      </c>
    </row>
    <row r="384" spans="5:6" x14ac:dyDescent="0.35">
      <c r="E384" s="56">
        <v>4002063065</v>
      </c>
      <c r="F384" s="57" t="s">
        <v>1489</v>
      </c>
    </row>
    <row r="385" spans="5:6" x14ac:dyDescent="0.35">
      <c r="E385" s="56">
        <v>4003380244</v>
      </c>
      <c r="F385" s="57" t="s">
        <v>1490</v>
      </c>
    </row>
    <row r="386" spans="5:6" x14ac:dyDescent="0.35">
      <c r="E386" s="56">
        <v>3085150522</v>
      </c>
      <c r="F386" s="57" t="s">
        <v>1491</v>
      </c>
    </row>
    <row r="387" spans="5:6" x14ac:dyDescent="0.35">
      <c r="E387" s="56">
        <v>3085762560</v>
      </c>
      <c r="F387" s="57" t="s">
        <v>1492</v>
      </c>
    </row>
    <row r="388" spans="5:6" x14ac:dyDescent="0.35">
      <c r="E388" s="56">
        <v>4001408369</v>
      </c>
      <c r="F388" s="57" t="s">
        <v>1493</v>
      </c>
    </row>
    <row r="389" spans="5:6" x14ac:dyDescent="0.35">
      <c r="E389" s="56">
        <v>3083306228</v>
      </c>
      <c r="F389" s="57" t="s">
        <v>1494</v>
      </c>
    </row>
    <row r="390" spans="5:6" x14ac:dyDescent="0.35">
      <c r="E390" s="56">
        <v>3085743906</v>
      </c>
      <c r="F390" s="57" t="s">
        <v>1495</v>
      </c>
    </row>
    <row r="391" spans="5:6" x14ac:dyDescent="0.35">
      <c r="E391" s="56">
        <v>3095489567</v>
      </c>
      <c r="F391" s="57" t="s">
        <v>1496</v>
      </c>
    </row>
    <row r="392" spans="5:6" x14ac:dyDescent="0.35">
      <c r="E392" s="56">
        <v>3092467876</v>
      </c>
      <c r="F392" s="57" t="s">
        <v>1497</v>
      </c>
    </row>
    <row r="393" spans="5:6" x14ac:dyDescent="0.35">
      <c r="E393" s="56">
        <v>4001550091</v>
      </c>
      <c r="F393" s="57" t="s">
        <v>1498</v>
      </c>
    </row>
    <row r="394" spans="5:6" x14ac:dyDescent="0.35">
      <c r="E394" s="56">
        <v>4003056479</v>
      </c>
      <c r="F394" s="57" t="s">
        <v>1499</v>
      </c>
    </row>
    <row r="395" spans="5:6" x14ac:dyDescent="0.35">
      <c r="E395" s="56">
        <v>3085310516</v>
      </c>
      <c r="F395" s="57" t="s">
        <v>1500</v>
      </c>
    </row>
    <row r="396" spans="5:6" x14ac:dyDescent="0.35">
      <c r="E396" s="56">
        <v>3085766049</v>
      </c>
      <c r="F396" s="57" t="s">
        <v>1501</v>
      </c>
    </row>
    <row r="397" spans="5:6" x14ac:dyDescent="0.35">
      <c r="E397" s="56">
        <v>4001574815</v>
      </c>
      <c r="F397" s="57" t="s">
        <v>1502</v>
      </c>
    </row>
    <row r="398" spans="5:6" x14ac:dyDescent="0.35">
      <c r="E398" s="56">
        <v>4003056486</v>
      </c>
      <c r="F398" s="57" t="s">
        <v>1503</v>
      </c>
    </row>
    <row r="399" spans="5:6" x14ac:dyDescent="0.35">
      <c r="E399" s="56">
        <v>4003332951</v>
      </c>
      <c r="F399" s="57" t="s">
        <v>1504</v>
      </c>
    </row>
    <row r="400" spans="5:6" x14ac:dyDescent="0.35">
      <c r="E400" s="56">
        <v>3095788996</v>
      </c>
      <c r="F400" s="57" t="s">
        <v>1505</v>
      </c>
    </row>
    <row r="401" spans="5:6" x14ac:dyDescent="0.35">
      <c r="E401" s="56">
        <v>4002672829</v>
      </c>
      <c r="F401" s="57" t="s">
        <v>1506</v>
      </c>
    </row>
    <row r="402" spans="5:6" x14ac:dyDescent="0.35">
      <c r="E402" s="56">
        <v>3093272625</v>
      </c>
      <c r="F402" s="57" t="s">
        <v>1507</v>
      </c>
    </row>
    <row r="403" spans="5:6" x14ac:dyDescent="0.35">
      <c r="E403" s="56">
        <v>3082469438</v>
      </c>
      <c r="F403" s="57" t="s">
        <v>1508</v>
      </c>
    </row>
    <row r="404" spans="5:6" x14ac:dyDescent="0.35">
      <c r="E404" s="56">
        <v>4003354489</v>
      </c>
      <c r="F404" s="57" t="s">
        <v>1509</v>
      </c>
    </row>
    <row r="405" spans="5:6" x14ac:dyDescent="0.35">
      <c r="E405" s="56">
        <v>3093281802</v>
      </c>
      <c r="F405" s="57" t="s">
        <v>1510</v>
      </c>
    </row>
    <row r="406" spans="5:6" x14ac:dyDescent="0.35">
      <c r="E406" s="56">
        <v>4002903262</v>
      </c>
      <c r="F406" s="57" t="s">
        <v>1511</v>
      </c>
    </row>
    <row r="407" spans="5:6" x14ac:dyDescent="0.35">
      <c r="E407" s="56">
        <v>4003105732</v>
      </c>
      <c r="F407" s="57" t="s">
        <v>1512</v>
      </c>
    </row>
    <row r="408" spans="5:6" x14ac:dyDescent="0.35">
      <c r="E408" s="56">
        <v>4003280345</v>
      </c>
      <c r="F408" s="57" t="s">
        <v>1513</v>
      </c>
    </row>
    <row r="409" spans="5:6" x14ac:dyDescent="0.35">
      <c r="E409" s="56">
        <v>3082978195</v>
      </c>
      <c r="F409" s="57" t="s">
        <v>1514</v>
      </c>
    </row>
    <row r="410" spans="5:6" x14ac:dyDescent="0.35">
      <c r="E410" s="56">
        <v>3085243621</v>
      </c>
      <c r="F410" s="57" t="s">
        <v>1515</v>
      </c>
    </row>
    <row r="411" spans="5:6" x14ac:dyDescent="0.35">
      <c r="E411" s="56">
        <v>4001423895</v>
      </c>
      <c r="F411" s="57" t="s">
        <v>1516</v>
      </c>
    </row>
    <row r="412" spans="5:6" x14ac:dyDescent="0.35">
      <c r="E412" s="56">
        <v>4002045545</v>
      </c>
      <c r="F412" s="57" t="s">
        <v>1517</v>
      </c>
    </row>
    <row r="413" spans="5:6" x14ac:dyDescent="0.35">
      <c r="E413" s="56">
        <v>3092469113</v>
      </c>
      <c r="F413" s="57" t="s">
        <v>1518</v>
      </c>
    </row>
    <row r="414" spans="5:6" x14ac:dyDescent="0.35">
      <c r="E414" s="56">
        <v>3095489566</v>
      </c>
      <c r="F414" s="57" t="s">
        <v>1519</v>
      </c>
    </row>
    <row r="415" spans="5:6" x14ac:dyDescent="0.35">
      <c r="E415" s="56">
        <v>3081866963</v>
      </c>
      <c r="F415" s="57" t="s">
        <v>1520</v>
      </c>
    </row>
    <row r="416" spans="5:6" x14ac:dyDescent="0.35">
      <c r="E416" s="56">
        <v>3082466084</v>
      </c>
      <c r="F416" s="57" t="s">
        <v>1521</v>
      </c>
    </row>
    <row r="417" spans="5:6" x14ac:dyDescent="0.35">
      <c r="E417" s="56">
        <v>3082466841</v>
      </c>
      <c r="F417" s="57" t="s">
        <v>1522</v>
      </c>
    </row>
    <row r="418" spans="5:6" x14ac:dyDescent="0.35">
      <c r="E418" s="56">
        <v>3082466872</v>
      </c>
      <c r="F418" s="57" t="s">
        <v>1523</v>
      </c>
    </row>
    <row r="419" spans="5:6" x14ac:dyDescent="0.35">
      <c r="E419" s="56">
        <v>3082466898</v>
      </c>
      <c r="F419" s="57" t="s">
        <v>1524</v>
      </c>
    </row>
    <row r="420" spans="5:6" x14ac:dyDescent="0.35">
      <c r="E420" s="56">
        <v>3082469797</v>
      </c>
      <c r="F420" s="57" t="s">
        <v>1525</v>
      </c>
    </row>
    <row r="421" spans="5:6" x14ac:dyDescent="0.35">
      <c r="E421" s="56">
        <v>3082469804</v>
      </c>
      <c r="F421" s="57" t="s">
        <v>1526</v>
      </c>
    </row>
    <row r="422" spans="5:6" x14ac:dyDescent="0.35">
      <c r="E422" s="56">
        <v>3082471166</v>
      </c>
      <c r="F422" s="57" t="s">
        <v>1527</v>
      </c>
    </row>
    <row r="423" spans="5:6" x14ac:dyDescent="0.35">
      <c r="E423" s="56">
        <v>3082471230</v>
      </c>
      <c r="F423" s="57" t="s">
        <v>1528</v>
      </c>
    </row>
    <row r="424" spans="5:6" x14ac:dyDescent="0.35">
      <c r="E424" s="56">
        <v>3082471844</v>
      </c>
      <c r="F424" s="57" t="s">
        <v>1529</v>
      </c>
    </row>
    <row r="425" spans="5:6" x14ac:dyDescent="0.35">
      <c r="E425" s="56">
        <v>3082874488</v>
      </c>
      <c r="F425" s="57" t="s">
        <v>1530</v>
      </c>
    </row>
    <row r="426" spans="5:6" x14ac:dyDescent="0.35">
      <c r="E426" s="56">
        <v>3083033618</v>
      </c>
      <c r="F426" s="57" t="s">
        <v>1531</v>
      </c>
    </row>
    <row r="427" spans="5:6" x14ac:dyDescent="0.35">
      <c r="E427" s="56">
        <v>3083035853</v>
      </c>
      <c r="F427" s="57" t="s">
        <v>1532</v>
      </c>
    </row>
    <row r="428" spans="5:6" x14ac:dyDescent="0.35">
      <c r="E428" s="56">
        <v>3083270125</v>
      </c>
      <c r="F428" s="57" t="s">
        <v>1533</v>
      </c>
    </row>
    <row r="429" spans="5:6" x14ac:dyDescent="0.35">
      <c r="E429" s="56">
        <v>3083334968</v>
      </c>
      <c r="F429" s="57" t="s">
        <v>1534</v>
      </c>
    </row>
    <row r="430" spans="5:6" x14ac:dyDescent="0.35">
      <c r="E430" s="56">
        <v>3083354359</v>
      </c>
      <c r="F430" s="57" t="s">
        <v>1535</v>
      </c>
    </row>
    <row r="431" spans="5:6" x14ac:dyDescent="0.35">
      <c r="E431" s="56">
        <v>3085480044</v>
      </c>
      <c r="F431" s="57" t="s">
        <v>1536</v>
      </c>
    </row>
    <row r="432" spans="5:6" x14ac:dyDescent="0.35">
      <c r="E432" s="56">
        <v>3085602638</v>
      </c>
      <c r="F432" s="57" t="s">
        <v>1537</v>
      </c>
    </row>
    <row r="433" spans="5:6" x14ac:dyDescent="0.35">
      <c r="E433" s="56">
        <v>3085763181</v>
      </c>
      <c r="F433" s="57" t="s">
        <v>1538</v>
      </c>
    </row>
    <row r="434" spans="5:6" x14ac:dyDescent="0.35">
      <c r="E434" s="56">
        <v>3085763198</v>
      </c>
      <c r="F434" s="57" t="s">
        <v>1539</v>
      </c>
    </row>
    <row r="435" spans="5:6" x14ac:dyDescent="0.35">
      <c r="E435" s="56">
        <v>3085763211</v>
      </c>
      <c r="F435" s="57" t="s">
        <v>1540</v>
      </c>
    </row>
    <row r="436" spans="5:6" x14ac:dyDescent="0.35">
      <c r="E436" s="56">
        <v>3095489569</v>
      </c>
      <c r="F436" s="57" t="s">
        <v>1541</v>
      </c>
    </row>
    <row r="437" spans="5:6" x14ac:dyDescent="0.35">
      <c r="E437" s="56">
        <v>3095489575</v>
      </c>
      <c r="F437" s="57" t="s">
        <v>1542</v>
      </c>
    </row>
    <row r="438" spans="5:6" x14ac:dyDescent="0.35">
      <c r="E438" s="56">
        <v>3095489578</v>
      </c>
      <c r="F438" s="57" t="s">
        <v>1543</v>
      </c>
    </row>
    <row r="439" spans="5:6" x14ac:dyDescent="0.35">
      <c r="E439" s="56">
        <v>3095489580</v>
      </c>
      <c r="F439" s="57" t="s">
        <v>1544</v>
      </c>
    </row>
    <row r="440" spans="5:6" x14ac:dyDescent="0.35">
      <c r="E440" s="56">
        <v>3095489585</v>
      </c>
      <c r="F440" s="57" t="s">
        <v>1545</v>
      </c>
    </row>
    <row r="441" spans="5:6" x14ac:dyDescent="0.35">
      <c r="E441" s="56">
        <v>3095489590</v>
      </c>
      <c r="F441" s="57" t="s">
        <v>1546</v>
      </c>
    </row>
    <row r="442" spans="5:6" x14ac:dyDescent="0.35">
      <c r="E442" s="56">
        <v>3095489591</v>
      </c>
      <c r="F442" s="57" t="s">
        <v>1547</v>
      </c>
    </row>
    <row r="443" spans="5:6" x14ac:dyDescent="0.35">
      <c r="E443" s="56">
        <v>3095489594</v>
      </c>
      <c r="F443" s="57" t="s">
        <v>1548</v>
      </c>
    </row>
    <row r="444" spans="5:6" x14ac:dyDescent="0.35">
      <c r="E444" s="56">
        <v>3095489595</v>
      </c>
      <c r="F444" s="57" t="s">
        <v>1549</v>
      </c>
    </row>
    <row r="445" spans="5:6" x14ac:dyDescent="0.35">
      <c r="E445" s="56">
        <v>3095489597</v>
      </c>
      <c r="F445" s="57" t="s">
        <v>1550</v>
      </c>
    </row>
    <row r="446" spans="5:6" x14ac:dyDescent="0.35">
      <c r="E446" s="56">
        <v>3095498820</v>
      </c>
      <c r="F446" s="57" t="s">
        <v>1551</v>
      </c>
    </row>
    <row r="447" spans="5:6" x14ac:dyDescent="0.35">
      <c r="E447" s="56">
        <v>3095498828</v>
      </c>
      <c r="F447" s="57" t="s">
        <v>1552</v>
      </c>
    </row>
    <row r="448" spans="5:6" x14ac:dyDescent="0.35">
      <c r="E448" s="56">
        <v>3095512388</v>
      </c>
      <c r="F448" s="57" t="s">
        <v>1553</v>
      </c>
    </row>
    <row r="449" spans="5:6" x14ac:dyDescent="0.35">
      <c r="E449" s="56">
        <v>3095628386</v>
      </c>
      <c r="F449" s="57" t="s">
        <v>1554</v>
      </c>
    </row>
    <row r="450" spans="5:6" x14ac:dyDescent="0.35">
      <c r="E450" s="56">
        <v>4002683219</v>
      </c>
      <c r="F450" s="57" t="s">
        <v>1555</v>
      </c>
    </row>
    <row r="451" spans="5:6" x14ac:dyDescent="0.35">
      <c r="E451" s="56">
        <v>4003354504</v>
      </c>
      <c r="F451" s="57" t="s">
        <v>1556</v>
      </c>
    </row>
    <row r="452" spans="5:6" x14ac:dyDescent="0.35">
      <c r="E452" s="56">
        <v>4003354523</v>
      </c>
      <c r="F452" s="57" t="s">
        <v>1557</v>
      </c>
    </row>
    <row r="453" spans="5:6" x14ac:dyDescent="0.35">
      <c r="E453" s="56">
        <v>4003354539</v>
      </c>
      <c r="F453" s="57" t="s">
        <v>1558</v>
      </c>
    </row>
    <row r="454" spans="5:6" x14ac:dyDescent="0.35">
      <c r="E454" s="56">
        <v>4003354551</v>
      </c>
      <c r="F454" s="57" t="s">
        <v>1559</v>
      </c>
    </row>
    <row r="455" spans="5:6" x14ac:dyDescent="0.35">
      <c r="E455" s="56">
        <v>4003354568</v>
      </c>
      <c r="F455" s="57" t="s">
        <v>1560</v>
      </c>
    </row>
    <row r="456" spans="5:6" x14ac:dyDescent="0.35">
      <c r="E456" s="56">
        <v>4003354580</v>
      </c>
      <c r="F456" s="57" t="s">
        <v>1561</v>
      </c>
    </row>
    <row r="457" spans="5:6" x14ac:dyDescent="0.35">
      <c r="E457" s="56">
        <v>4003354593</v>
      </c>
      <c r="F457" s="57" t="s">
        <v>1562</v>
      </c>
    </row>
    <row r="458" spans="5:6" x14ac:dyDescent="0.35">
      <c r="E458" s="56">
        <v>4003354602</v>
      </c>
      <c r="F458" s="57" t="s">
        <v>1563</v>
      </c>
    </row>
    <row r="459" spans="5:6" x14ac:dyDescent="0.35">
      <c r="E459" s="56">
        <v>4003354610</v>
      </c>
      <c r="F459" s="57" t="s">
        <v>1564</v>
      </c>
    </row>
    <row r="460" spans="5:6" x14ac:dyDescent="0.35">
      <c r="E460" s="56">
        <v>4003354631</v>
      </c>
      <c r="F460" s="57" t="s">
        <v>1565</v>
      </c>
    </row>
    <row r="461" spans="5:6" x14ac:dyDescent="0.35">
      <c r="E461" s="56">
        <v>4003439250</v>
      </c>
      <c r="F461" s="57" t="s">
        <v>1566</v>
      </c>
    </row>
    <row r="462" spans="5:6" x14ac:dyDescent="0.35">
      <c r="E462" s="56">
        <v>4003439310</v>
      </c>
      <c r="F462" s="57" t="s">
        <v>1567</v>
      </c>
    </row>
    <row r="463" spans="5:6" x14ac:dyDescent="0.35">
      <c r="E463" s="56">
        <v>3092460715</v>
      </c>
      <c r="F463" s="57" t="s">
        <v>1568</v>
      </c>
    </row>
    <row r="464" spans="5:6" x14ac:dyDescent="0.35">
      <c r="E464" s="56">
        <v>3095178551</v>
      </c>
      <c r="F464" s="57" t="s">
        <v>1569</v>
      </c>
    </row>
    <row r="465" spans="5:6" x14ac:dyDescent="0.35">
      <c r="E465" s="56">
        <v>4004145488</v>
      </c>
      <c r="F465" s="57" t="s">
        <v>1570</v>
      </c>
    </row>
    <row r="466" spans="5:6" x14ac:dyDescent="0.35">
      <c r="E466" s="56">
        <v>4001370981</v>
      </c>
      <c r="F466" s="57" t="s">
        <v>1571</v>
      </c>
    </row>
    <row r="467" spans="5:6" x14ac:dyDescent="0.35">
      <c r="E467" s="56">
        <v>4001377191</v>
      </c>
      <c r="F467" s="57" t="s">
        <v>1572</v>
      </c>
    </row>
    <row r="468" spans="5:6" x14ac:dyDescent="0.35">
      <c r="E468" s="56">
        <v>4001388573</v>
      </c>
      <c r="F468" s="57" t="s">
        <v>1573</v>
      </c>
    </row>
    <row r="469" spans="5:6" x14ac:dyDescent="0.35">
      <c r="E469" s="56">
        <v>4001388604</v>
      </c>
      <c r="F469" s="57" t="s">
        <v>1574</v>
      </c>
    </row>
    <row r="470" spans="5:6" x14ac:dyDescent="0.35">
      <c r="E470" s="56">
        <v>4001388686</v>
      </c>
      <c r="F470" s="57" t="s">
        <v>1575</v>
      </c>
    </row>
    <row r="471" spans="5:6" x14ac:dyDescent="0.35">
      <c r="E471" s="56">
        <v>4001408245</v>
      </c>
      <c r="F471" s="57" t="s">
        <v>1576</v>
      </c>
    </row>
    <row r="472" spans="5:6" x14ac:dyDescent="0.35">
      <c r="E472" s="56">
        <v>4001419414</v>
      </c>
      <c r="F472" s="57" t="s">
        <v>1577</v>
      </c>
    </row>
    <row r="473" spans="5:6" x14ac:dyDescent="0.35">
      <c r="E473" s="56">
        <v>4001480960</v>
      </c>
      <c r="F473" s="57" t="s">
        <v>1578</v>
      </c>
    </row>
    <row r="474" spans="5:6" x14ac:dyDescent="0.35">
      <c r="E474" s="56">
        <v>4001519583</v>
      </c>
      <c r="F474" s="57" t="s">
        <v>1579</v>
      </c>
    </row>
    <row r="475" spans="5:6" x14ac:dyDescent="0.35">
      <c r="E475" s="56">
        <v>4001934878</v>
      </c>
      <c r="F475" s="57" t="s">
        <v>1580</v>
      </c>
    </row>
    <row r="476" spans="5:6" x14ac:dyDescent="0.35">
      <c r="E476" s="56">
        <v>4002061475</v>
      </c>
      <c r="F476" s="57" t="s">
        <v>1581</v>
      </c>
    </row>
    <row r="477" spans="5:6" x14ac:dyDescent="0.35">
      <c r="E477" s="56">
        <v>4002501536</v>
      </c>
      <c r="F477" s="57" t="s">
        <v>1582</v>
      </c>
    </row>
    <row r="478" spans="5:6" x14ac:dyDescent="0.35">
      <c r="E478" s="56">
        <v>3092470746</v>
      </c>
      <c r="F478" s="57" t="s">
        <v>1583</v>
      </c>
    </row>
    <row r="479" spans="5:6" x14ac:dyDescent="0.35">
      <c r="E479" s="56">
        <v>4002880303</v>
      </c>
      <c r="F479" s="57" t="s">
        <v>1584</v>
      </c>
    </row>
    <row r="480" spans="5:6" x14ac:dyDescent="0.35">
      <c r="E480" s="56">
        <v>4002880415</v>
      </c>
      <c r="F480" s="57" t="s">
        <v>1585</v>
      </c>
    </row>
    <row r="481" spans="5:6" x14ac:dyDescent="0.35">
      <c r="E481" s="56">
        <v>4002989272</v>
      </c>
      <c r="F481" s="57" t="s">
        <v>1586</v>
      </c>
    </row>
    <row r="482" spans="5:6" x14ac:dyDescent="0.35">
      <c r="E482" s="56">
        <v>4002989289</v>
      </c>
      <c r="F482" s="57" t="s">
        <v>1587</v>
      </c>
    </row>
    <row r="483" spans="5:6" x14ac:dyDescent="0.35">
      <c r="E483" s="56">
        <v>4003015964</v>
      </c>
      <c r="F483" s="57" t="s">
        <v>1588</v>
      </c>
    </row>
    <row r="484" spans="5:6" x14ac:dyDescent="0.35">
      <c r="E484" s="56">
        <v>4003115611</v>
      </c>
      <c r="F484" s="57" t="s">
        <v>1589</v>
      </c>
    </row>
    <row r="485" spans="5:6" x14ac:dyDescent="0.35">
      <c r="E485" s="56">
        <v>4003352746</v>
      </c>
      <c r="F485" s="57" t="s">
        <v>1590</v>
      </c>
    </row>
    <row r="486" spans="5:6" x14ac:dyDescent="0.35">
      <c r="E486" s="56">
        <v>4003352748</v>
      </c>
      <c r="F486" s="57" t="s">
        <v>1591</v>
      </c>
    </row>
    <row r="487" spans="5:6" x14ac:dyDescent="0.35">
      <c r="E487" s="56">
        <v>4004211883</v>
      </c>
      <c r="F487" s="57" t="s">
        <v>1592</v>
      </c>
    </row>
    <row r="488" spans="5:6" x14ac:dyDescent="0.35">
      <c r="E488" s="56">
        <v>4003435646</v>
      </c>
      <c r="F488" s="57" t="s">
        <v>1593</v>
      </c>
    </row>
    <row r="489" spans="5:6" x14ac:dyDescent="0.35">
      <c r="E489" s="56">
        <v>4003437375</v>
      </c>
      <c r="F489" s="57" t="s">
        <v>1594</v>
      </c>
    </row>
    <row r="490" spans="5:6" x14ac:dyDescent="0.35">
      <c r="E490" s="56">
        <v>4003438083</v>
      </c>
      <c r="F490" s="57" t="s">
        <v>1595</v>
      </c>
    </row>
    <row r="491" spans="5:6" x14ac:dyDescent="0.35">
      <c r="E491" s="56">
        <v>4003445450</v>
      </c>
      <c r="F491" s="57" t="s">
        <v>1596</v>
      </c>
    </row>
    <row r="492" spans="5:6" x14ac:dyDescent="0.35">
      <c r="E492" s="56">
        <v>4003813398</v>
      </c>
      <c r="F492" s="57" t="s">
        <v>1597</v>
      </c>
    </row>
    <row r="493" spans="5:6" x14ac:dyDescent="0.35">
      <c r="E493" s="56">
        <v>4003564972</v>
      </c>
      <c r="F493" s="57" t="s">
        <v>1598</v>
      </c>
    </row>
    <row r="494" spans="5:6" x14ac:dyDescent="0.35">
      <c r="E494" s="56">
        <v>4003597541</v>
      </c>
      <c r="F494" s="57" t="s">
        <v>1599</v>
      </c>
    </row>
    <row r="495" spans="5:6" x14ac:dyDescent="0.35">
      <c r="E495" s="56">
        <v>4004082394</v>
      </c>
      <c r="F495" s="57" t="s">
        <v>1600</v>
      </c>
    </row>
    <row r="496" spans="5:6" x14ac:dyDescent="0.35">
      <c r="E496" s="56">
        <v>4004147074</v>
      </c>
      <c r="F496" s="57" t="s">
        <v>1601</v>
      </c>
    </row>
    <row r="497" spans="5:6" x14ac:dyDescent="0.35">
      <c r="E497" s="56">
        <v>4003896291</v>
      </c>
      <c r="F497" s="57" t="s">
        <v>1602</v>
      </c>
    </row>
    <row r="498" spans="5:6" x14ac:dyDescent="0.35">
      <c r="E498" s="56">
        <v>4004130850</v>
      </c>
      <c r="F498" s="57" t="s">
        <v>1603</v>
      </c>
    </row>
    <row r="499" spans="5:6" x14ac:dyDescent="0.35">
      <c r="E499" s="56">
        <v>3092553536</v>
      </c>
      <c r="F499" s="57" t="s">
        <v>1604</v>
      </c>
    </row>
    <row r="500" spans="5:6" x14ac:dyDescent="0.35">
      <c r="E500" s="56">
        <v>3092496823</v>
      </c>
      <c r="F500" s="57" t="s">
        <v>1605</v>
      </c>
    </row>
    <row r="501" spans="5:6" x14ac:dyDescent="0.35">
      <c r="E501" s="56">
        <v>3095277443</v>
      </c>
      <c r="F501" s="57" t="s">
        <v>1606</v>
      </c>
    </row>
    <row r="502" spans="5:6" x14ac:dyDescent="0.35">
      <c r="E502" s="56">
        <v>3082469663</v>
      </c>
      <c r="F502" s="57" t="s">
        <v>1607</v>
      </c>
    </row>
    <row r="503" spans="5:6" x14ac:dyDescent="0.35">
      <c r="E503" s="56">
        <v>3082469755</v>
      </c>
      <c r="F503" s="57" t="s">
        <v>1608</v>
      </c>
    </row>
    <row r="504" spans="5:6" x14ac:dyDescent="0.35">
      <c r="E504" s="56">
        <v>3082470368</v>
      </c>
      <c r="F504" s="57" t="s">
        <v>1609</v>
      </c>
    </row>
    <row r="505" spans="5:6" x14ac:dyDescent="0.35">
      <c r="E505" s="56">
        <v>3082471505</v>
      </c>
      <c r="F505" s="57" t="s">
        <v>1610</v>
      </c>
    </row>
    <row r="506" spans="5:6" x14ac:dyDescent="0.35">
      <c r="E506" s="56">
        <v>3082471637</v>
      </c>
      <c r="F506" s="57" t="s">
        <v>1611</v>
      </c>
    </row>
    <row r="507" spans="5:6" x14ac:dyDescent="0.35">
      <c r="E507" s="56">
        <v>3082474522</v>
      </c>
      <c r="F507" s="57" t="s">
        <v>1612</v>
      </c>
    </row>
    <row r="508" spans="5:6" x14ac:dyDescent="0.35">
      <c r="E508" s="56">
        <v>3082475087</v>
      </c>
      <c r="F508" s="57" t="s">
        <v>1613</v>
      </c>
    </row>
    <row r="509" spans="5:6" x14ac:dyDescent="0.35">
      <c r="E509" s="56">
        <v>3082475165</v>
      </c>
      <c r="F509" s="57" t="s">
        <v>1614</v>
      </c>
    </row>
    <row r="510" spans="5:6" x14ac:dyDescent="0.35">
      <c r="E510" s="56">
        <v>3082475252</v>
      </c>
      <c r="F510" s="57" t="s">
        <v>1615</v>
      </c>
    </row>
    <row r="511" spans="5:6" x14ac:dyDescent="0.35">
      <c r="E511" s="56">
        <v>3082475521</v>
      </c>
      <c r="F511" s="57" t="s">
        <v>1616</v>
      </c>
    </row>
    <row r="512" spans="5:6" x14ac:dyDescent="0.35">
      <c r="E512" s="56">
        <v>3082475985</v>
      </c>
      <c r="F512" s="57" t="s">
        <v>1617</v>
      </c>
    </row>
    <row r="513" spans="5:6" x14ac:dyDescent="0.35">
      <c r="E513" s="56">
        <v>3082624261</v>
      </c>
      <c r="F513" s="57" t="s">
        <v>1618</v>
      </c>
    </row>
    <row r="514" spans="5:6" x14ac:dyDescent="0.35">
      <c r="E514" s="56">
        <v>3082624315</v>
      </c>
      <c r="F514" s="57" t="s">
        <v>1619</v>
      </c>
    </row>
    <row r="515" spans="5:6" x14ac:dyDescent="0.35">
      <c r="E515" s="56">
        <v>3083073295</v>
      </c>
      <c r="F515" s="57" t="s">
        <v>1620</v>
      </c>
    </row>
    <row r="516" spans="5:6" x14ac:dyDescent="0.35">
      <c r="E516" s="56">
        <v>3083077896</v>
      </c>
      <c r="F516" s="57" t="s">
        <v>1621</v>
      </c>
    </row>
    <row r="517" spans="5:6" x14ac:dyDescent="0.35">
      <c r="E517" s="56">
        <v>3083096168</v>
      </c>
      <c r="F517" s="57" t="s">
        <v>1622</v>
      </c>
    </row>
    <row r="518" spans="5:6" x14ac:dyDescent="0.35">
      <c r="E518" s="56">
        <v>3083110273</v>
      </c>
      <c r="F518" s="57" t="s">
        <v>1623</v>
      </c>
    </row>
    <row r="519" spans="5:6" x14ac:dyDescent="0.35">
      <c r="E519" s="56">
        <v>3083110395</v>
      </c>
      <c r="F519" s="57" t="s">
        <v>1624</v>
      </c>
    </row>
    <row r="520" spans="5:6" x14ac:dyDescent="0.35">
      <c r="E520" s="56">
        <v>3083152274</v>
      </c>
      <c r="F520" s="57" t="s">
        <v>1625</v>
      </c>
    </row>
    <row r="521" spans="5:6" x14ac:dyDescent="0.35">
      <c r="E521" s="56">
        <v>3092460561</v>
      </c>
      <c r="F521" s="57" t="s">
        <v>1626</v>
      </c>
    </row>
    <row r="522" spans="5:6" x14ac:dyDescent="0.35">
      <c r="E522" s="56">
        <v>3095786145</v>
      </c>
      <c r="F522" s="57" t="s">
        <v>1627</v>
      </c>
    </row>
    <row r="523" spans="5:6" x14ac:dyDescent="0.35">
      <c r="E523" s="56">
        <v>3095800369</v>
      </c>
      <c r="F523" s="57" t="s">
        <v>1628</v>
      </c>
    </row>
    <row r="524" spans="5:6" x14ac:dyDescent="0.35">
      <c r="E524" s="56">
        <v>3095800378</v>
      </c>
      <c r="F524" s="57" t="s">
        <v>1629</v>
      </c>
    </row>
    <row r="525" spans="5:6" x14ac:dyDescent="0.35">
      <c r="E525" s="56">
        <v>3093326489</v>
      </c>
      <c r="F525" s="57" t="s">
        <v>1630</v>
      </c>
    </row>
    <row r="526" spans="5:6" x14ac:dyDescent="0.35">
      <c r="E526" s="56">
        <v>4003418684</v>
      </c>
      <c r="F526" s="57" t="s">
        <v>1631</v>
      </c>
    </row>
    <row r="527" spans="5:6" x14ac:dyDescent="0.35">
      <c r="E527" s="56">
        <v>3095771039</v>
      </c>
      <c r="F527" s="57" t="s">
        <v>1632</v>
      </c>
    </row>
    <row r="528" spans="5:6" x14ac:dyDescent="0.35">
      <c r="E528" s="56">
        <v>3095770725</v>
      </c>
      <c r="F528" s="57" t="s">
        <v>1633</v>
      </c>
    </row>
    <row r="529" spans="5:6" x14ac:dyDescent="0.35">
      <c r="E529" s="56">
        <v>3092472114</v>
      </c>
      <c r="F529" s="57" t="s">
        <v>1634</v>
      </c>
    </row>
    <row r="530" spans="5:6" x14ac:dyDescent="0.35">
      <c r="E530" s="56">
        <v>3095800364</v>
      </c>
      <c r="F530" s="57" t="s">
        <v>1635</v>
      </c>
    </row>
    <row r="531" spans="5:6" x14ac:dyDescent="0.35">
      <c r="E531" s="56">
        <v>3095800366</v>
      </c>
      <c r="F531" s="57" t="s">
        <v>1636</v>
      </c>
    </row>
    <row r="532" spans="5:6" x14ac:dyDescent="0.35">
      <c r="E532" s="56">
        <v>3095296676</v>
      </c>
      <c r="F532" s="57" t="s">
        <v>1637</v>
      </c>
    </row>
    <row r="533" spans="5:6" x14ac:dyDescent="0.35">
      <c r="E533" s="56">
        <v>3095339059</v>
      </c>
      <c r="F533" s="57" t="s">
        <v>1638</v>
      </c>
    </row>
    <row r="534" spans="5:6" x14ac:dyDescent="0.35">
      <c r="E534" s="56">
        <v>4002332097</v>
      </c>
      <c r="F534" s="57" t="s">
        <v>1639</v>
      </c>
    </row>
    <row r="535" spans="5:6" x14ac:dyDescent="0.35">
      <c r="E535" s="56">
        <v>4002680888</v>
      </c>
      <c r="F535" s="57" t="s">
        <v>1640</v>
      </c>
    </row>
    <row r="536" spans="5:6" x14ac:dyDescent="0.35">
      <c r="E536" s="56">
        <v>3092473642</v>
      </c>
      <c r="F536" s="57" t="s">
        <v>1641</v>
      </c>
    </row>
    <row r="537" spans="5:6" x14ac:dyDescent="0.35">
      <c r="E537" s="56">
        <v>3092473662</v>
      </c>
      <c r="F537" s="57" t="s">
        <v>1642</v>
      </c>
    </row>
    <row r="538" spans="5:6" x14ac:dyDescent="0.35">
      <c r="E538" s="56">
        <v>3092462551</v>
      </c>
      <c r="F538" s="57" t="s">
        <v>1643</v>
      </c>
    </row>
    <row r="539" spans="5:6" x14ac:dyDescent="0.35">
      <c r="E539" s="56">
        <v>3095656055</v>
      </c>
      <c r="F539" s="57" t="s">
        <v>1644</v>
      </c>
    </row>
    <row r="540" spans="5:6" x14ac:dyDescent="0.35">
      <c r="E540" s="56">
        <v>3095800380</v>
      </c>
      <c r="F540" s="57" t="s">
        <v>1645</v>
      </c>
    </row>
    <row r="541" spans="5:6" x14ac:dyDescent="0.35">
      <c r="E541" s="56">
        <v>3093199793</v>
      </c>
      <c r="F541" s="57" t="s">
        <v>1646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AF36-A4D8-4E47-8CAE-7A42F113432A}">
  <dimension ref="A2:N80"/>
  <sheetViews>
    <sheetView showGridLines="0" zoomScale="115" zoomScaleNormal="115" workbookViewId="0">
      <selection activeCell="F80" sqref="F80"/>
    </sheetView>
  </sheetViews>
  <sheetFormatPr defaultRowHeight="14.5" outlineLevelCol="1" x14ac:dyDescent="0.35"/>
  <cols>
    <col min="1" max="1" width="36.54296875" bestFit="1" customWidth="1"/>
    <col min="2" max="2" width="10.54296875" bestFit="1" customWidth="1"/>
    <col min="3" max="3" width="23.26953125" customWidth="1"/>
    <col min="4" max="4" width="26.453125" bestFit="1" customWidth="1"/>
    <col min="5" max="5" width="2.54296875" customWidth="1"/>
    <col min="6" max="6" width="30" customWidth="1"/>
    <col min="7" max="7" width="21.54296875" customWidth="1" outlineLevel="1"/>
    <col min="8" max="8" width="25.7265625" bestFit="1" customWidth="1"/>
    <col min="10" max="11" width="31.453125" bestFit="1" customWidth="1"/>
    <col min="12" max="12" width="7.453125" bestFit="1" customWidth="1"/>
    <col min="13" max="13" width="25.7265625" bestFit="1" customWidth="1"/>
    <col min="14" max="15" width="12.54296875" customWidth="1"/>
  </cols>
  <sheetData>
    <row r="2" spans="1:14" x14ac:dyDescent="0.35">
      <c r="A2" s="24" t="s">
        <v>1647</v>
      </c>
      <c r="B2" s="24" t="s">
        <v>7</v>
      </c>
      <c r="C2" s="29" t="s">
        <v>72</v>
      </c>
      <c r="D2" s="30" t="s">
        <v>1648</v>
      </c>
      <c r="F2" t="s">
        <v>1649</v>
      </c>
      <c r="G2" t="s">
        <v>61</v>
      </c>
      <c r="H2" t="s">
        <v>65</v>
      </c>
      <c r="J2" t="s">
        <v>1650</v>
      </c>
      <c r="K2" t="s">
        <v>1651</v>
      </c>
      <c r="L2" t="s">
        <v>1652</v>
      </c>
      <c r="M2" t="s">
        <v>65</v>
      </c>
      <c r="N2" t="s">
        <v>1653</v>
      </c>
    </row>
    <row r="3" spans="1:14" x14ac:dyDescent="0.35">
      <c r="A3" t="s">
        <v>1654</v>
      </c>
      <c r="B3" s="25" t="s">
        <v>1655</v>
      </c>
      <c r="C3" t="s">
        <v>357</v>
      </c>
      <c r="D3" t="s">
        <v>1656</v>
      </c>
      <c r="F3" t="s">
        <v>1657</v>
      </c>
      <c r="G3" t="s">
        <v>38</v>
      </c>
      <c r="H3" t="str">
        <f>_xlfn.XLOOKUP(POCOS_G5[[#This Row],[US_acentuados]],Dados_Regionais_G5[US_acentuados],Dados_Regionais_G5[US_Maiusculas])</f>
        <v>ALEGRETE</v>
      </c>
      <c r="J3" t="s">
        <v>1658</v>
      </c>
      <c r="K3" t="s">
        <v>1657</v>
      </c>
      <c r="L3" t="s">
        <v>1659</v>
      </c>
      <c r="M3" t="s">
        <v>12</v>
      </c>
      <c r="N3" s="37">
        <v>3095800375</v>
      </c>
    </row>
    <row r="4" spans="1:14" x14ac:dyDescent="0.35">
      <c r="B4" s="23" t="s">
        <v>11</v>
      </c>
      <c r="C4" s="23" t="s">
        <v>12</v>
      </c>
      <c r="D4" s="27" t="s">
        <v>1660</v>
      </c>
      <c r="F4" t="s">
        <v>1661</v>
      </c>
      <c r="G4" t="s">
        <v>38</v>
      </c>
      <c r="H4" t="str">
        <f>_xlfn.XLOOKUP(POCOS_G5[[#This Row],[US_acentuados]],Dados_Regionais_G5[US_acentuados],Dados_Regionais_G5[US_Maiusculas])</f>
        <v>ALEGRETE</v>
      </c>
      <c r="J4" t="s">
        <v>1662</v>
      </c>
      <c r="K4" t="s">
        <v>1661</v>
      </c>
      <c r="L4" t="s">
        <v>1659</v>
      </c>
      <c r="M4" t="s">
        <v>12</v>
      </c>
      <c r="N4" s="37">
        <v>3095800367</v>
      </c>
    </row>
    <row r="5" spans="1:14" x14ac:dyDescent="0.35">
      <c r="B5" s="22" t="s">
        <v>11</v>
      </c>
      <c r="C5" s="22" t="s">
        <v>112</v>
      </c>
      <c r="D5" s="26" t="s">
        <v>1663</v>
      </c>
      <c r="F5" t="s">
        <v>1664</v>
      </c>
      <c r="G5" t="s">
        <v>38</v>
      </c>
      <c r="H5" t="str">
        <f>_xlfn.XLOOKUP(POCOS_G5[[#This Row],[US_acentuados]],Dados_Regionais_G5[US_acentuados],Dados_Regionais_G5[US_Maiusculas])</f>
        <v>ALEGRETE</v>
      </c>
      <c r="J5" t="s">
        <v>1665</v>
      </c>
      <c r="K5" t="s">
        <v>1664</v>
      </c>
      <c r="L5" t="s">
        <v>1659</v>
      </c>
      <c r="M5" t="s">
        <v>12</v>
      </c>
      <c r="N5" s="37">
        <v>3095800367</v>
      </c>
    </row>
    <row r="6" spans="1:14" x14ac:dyDescent="0.35">
      <c r="B6" s="25" t="s">
        <v>1655</v>
      </c>
      <c r="C6" t="s">
        <v>357</v>
      </c>
      <c r="D6" t="s">
        <v>1666</v>
      </c>
      <c r="F6" t="s">
        <v>1667</v>
      </c>
      <c r="G6" t="s">
        <v>38</v>
      </c>
      <c r="H6" t="str">
        <f>_xlfn.XLOOKUP(POCOS_G5[[#This Row],[US_acentuados]],Dados_Regionais_G5[US_acentuados],Dados_Regionais_G5[US_Maiusculas])</f>
        <v>ALEGRETE</v>
      </c>
      <c r="J6" t="s">
        <v>1668</v>
      </c>
      <c r="K6" t="s">
        <v>1667</v>
      </c>
      <c r="L6" t="s">
        <v>1659</v>
      </c>
      <c r="M6" t="s">
        <v>12</v>
      </c>
      <c r="N6" s="37">
        <v>3095786145</v>
      </c>
    </row>
    <row r="7" spans="1:14" x14ac:dyDescent="0.35">
      <c r="B7" s="25" t="s">
        <v>1655</v>
      </c>
      <c r="C7" t="s">
        <v>402</v>
      </c>
      <c r="D7" t="s">
        <v>1669</v>
      </c>
      <c r="F7" t="s">
        <v>1670</v>
      </c>
      <c r="G7" t="s">
        <v>38</v>
      </c>
      <c r="H7" t="str">
        <f>_xlfn.XLOOKUP(POCOS_G5[[#This Row],[US_acentuados]],Dados_Regionais_G5[US_acentuados],Dados_Regionais_G5[US_Maiusculas])</f>
        <v>ALEGRETE</v>
      </c>
      <c r="J7" t="s">
        <v>1671</v>
      </c>
      <c r="K7" t="s">
        <v>1670</v>
      </c>
      <c r="L7" t="s">
        <v>1659</v>
      </c>
      <c r="M7" t="s">
        <v>12</v>
      </c>
      <c r="N7" s="37">
        <v>3095654903</v>
      </c>
    </row>
    <row r="8" spans="1:14" x14ac:dyDescent="0.35">
      <c r="B8" s="23" t="s">
        <v>9</v>
      </c>
      <c r="C8" s="23" t="s">
        <v>17</v>
      </c>
      <c r="D8" s="27" t="s">
        <v>1672</v>
      </c>
      <c r="F8" t="s">
        <v>1673</v>
      </c>
      <c r="G8" t="s">
        <v>38</v>
      </c>
      <c r="H8" t="str">
        <f>_xlfn.XLOOKUP(POCOS_G5[[#This Row],[US_acentuados]],Dados_Regionais_G5[US_acentuados],Dados_Regionais_G5[US_Maiusculas])</f>
        <v>ALEGRETE</v>
      </c>
      <c r="J8" t="s">
        <v>1674</v>
      </c>
      <c r="K8" t="s">
        <v>1673</v>
      </c>
      <c r="L8" t="s">
        <v>1659</v>
      </c>
      <c r="M8" t="s">
        <v>12</v>
      </c>
      <c r="N8" s="37">
        <v>4003354504</v>
      </c>
    </row>
    <row r="9" spans="1:14" x14ac:dyDescent="0.35">
      <c r="B9" s="25" t="s">
        <v>1655</v>
      </c>
      <c r="C9" t="s">
        <v>442</v>
      </c>
      <c r="D9" t="s">
        <v>1675</v>
      </c>
      <c r="F9" t="s">
        <v>1676</v>
      </c>
      <c r="G9" t="s">
        <v>38</v>
      </c>
      <c r="H9" t="str">
        <f>_xlfn.XLOOKUP(POCOS_G5[[#This Row],[US_acentuados]],Dados_Regionais_G5[US_acentuados],Dados_Regionais_G5[US_Maiusculas])</f>
        <v>ALEGRETE</v>
      </c>
      <c r="J9" t="s">
        <v>1677</v>
      </c>
      <c r="K9" t="s">
        <v>1676</v>
      </c>
      <c r="L9" t="s">
        <v>1659</v>
      </c>
      <c r="M9" t="s">
        <v>12</v>
      </c>
      <c r="N9" s="37">
        <v>3095800378</v>
      </c>
    </row>
    <row r="10" spans="1:14" x14ac:dyDescent="0.35">
      <c r="B10" s="23" t="s">
        <v>11</v>
      </c>
      <c r="C10" s="23" t="s">
        <v>19</v>
      </c>
      <c r="D10" s="27" t="s">
        <v>1678</v>
      </c>
      <c r="F10" t="s">
        <v>1679</v>
      </c>
      <c r="G10" t="s">
        <v>38</v>
      </c>
      <c r="H10" t="str">
        <f>_xlfn.XLOOKUP(POCOS_G5[[#This Row],[US_acentuados]],Dados_Regionais_G5[US_acentuados],Dados_Regionais_G5[US_Maiusculas])</f>
        <v>ALEGRETE</v>
      </c>
      <c r="J10" t="s">
        <v>1680</v>
      </c>
      <c r="K10" t="s">
        <v>1679</v>
      </c>
      <c r="L10" t="s">
        <v>1659</v>
      </c>
      <c r="M10" t="s">
        <v>12</v>
      </c>
      <c r="N10" s="37">
        <v>3092464869</v>
      </c>
    </row>
    <row r="11" spans="1:14" x14ac:dyDescent="0.35">
      <c r="B11" s="22" t="s">
        <v>9</v>
      </c>
      <c r="C11" s="22" t="s">
        <v>20</v>
      </c>
      <c r="D11" s="26" t="s">
        <v>1681</v>
      </c>
      <c r="F11" t="s">
        <v>1682</v>
      </c>
      <c r="G11" t="s">
        <v>38</v>
      </c>
      <c r="H11" t="str">
        <f>_xlfn.XLOOKUP(POCOS_G5[[#This Row],[US_acentuados]],Dados_Regionais_G5[US_acentuados],Dados_Regionais_G5[US_Maiusculas])</f>
        <v>ALEGRETE</v>
      </c>
      <c r="J11" t="s">
        <v>1683</v>
      </c>
      <c r="K11" t="s">
        <v>1684</v>
      </c>
      <c r="L11" t="s">
        <v>1659</v>
      </c>
      <c r="M11" t="s">
        <v>12</v>
      </c>
      <c r="N11" s="37"/>
    </row>
    <row r="12" spans="1:14" x14ac:dyDescent="0.35">
      <c r="B12" s="25" t="s">
        <v>1655</v>
      </c>
      <c r="C12" t="s">
        <v>396</v>
      </c>
      <c r="D12" t="s">
        <v>1685</v>
      </c>
      <c r="F12" t="s">
        <v>1686</v>
      </c>
      <c r="G12" t="s">
        <v>38</v>
      </c>
      <c r="H12" t="str">
        <f>_xlfn.XLOOKUP(POCOS_G5[[#This Row],[US_acentuados]],Dados_Regionais_G5[US_acentuados],Dados_Regionais_G5[US_Maiusculas])</f>
        <v>ALEGRETE</v>
      </c>
      <c r="J12" t="s">
        <v>1687</v>
      </c>
      <c r="K12" t="s">
        <v>1682</v>
      </c>
      <c r="L12" t="s">
        <v>1659</v>
      </c>
      <c r="M12" t="s">
        <v>12</v>
      </c>
      <c r="N12" s="37">
        <v>3092553536</v>
      </c>
    </row>
    <row r="13" spans="1:14" x14ac:dyDescent="0.35">
      <c r="B13" s="22" t="s">
        <v>9</v>
      </c>
      <c r="C13" s="22" t="s">
        <v>313</v>
      </c>
      <c r="D13" s="26" t="s">
        <v>1688</v>
      </c>
      <c r="F13" t="s">
        <v>1689</v>
      </c>
      <c r="G13" t="s">
        <v>38</v>
      </c>
      <c r="H13" t="str">
        <f>_xlfn.XLOOKUP(POCOS_G5[[#This Row],[US_acentuados]],Dados_Regionais_G5[US_acentuados],Dados_Regionais_G5[US_Maiusculas])</f>
        <v>ALEGRETE</v>
      </c>
      <c r="J13" t="s">
        <v>1690</v>
      </c>
      <c r="K13" t="s">
        <v>1686</v>
      </c>
      <c r="L13" t="s">
        <v>1659</v>
      </c>
      <c r="M13" t="s">
        <v>12</v>
      </c>
      <c r="N13" s="37">
        <v>3092682050</v>
      </c>
    </row>
    <row r="14" spans="1:14" x14ac:dyDescent="0.35">
      <c r="B14" s="23" t="s">
        <v>9</v>
      </c>
      <c r="C14" s="23" t="s">
        <v>341</v>
      </c>
      <c r="D14" s="27" t="s">
        <v>1691</v>
      </c>
      <c r="F14" t="s">
        <v>1692</v>
      </c>
      <c r="G14" t="s">
        <v>38</v>
      </c>
      <c r="H14" t="str">
        <f>_xlfn.XLOOKUP(POCOS_G5[[#This Row],[US_acentuados]],Dados_Regionais_G5[US_acentuados],Dados_Regionais_G5[US_Maiusculas])</f>
        <v>ALEGRETE</v>
      </c>
      <c r="J14" t="s">
        <v>1693</v>
      </c>
      <c r="K14" t="s">
        <v>1689</v>
      </c>
      <c r="L14" t="s">
        <v>1659</v>
      </c>
      <c r="M14" t="s">
        <v>12</v>
      </c>
      <c r="N14" s="37">
        <v>3095800368</v>
      </c>
    </row>
    <row r="15" spans="1:14" x14ac:dyDescent="0.35">
      <c r="B15" s="25" t="s">
        <v>1655</v>
      </c>
      <c r="C15" t="s">
        <v>448</v>
      </c>
      <c r="D15" t="s">
        <v>1694</v>
      </c>
      <c r="F15" t="s">
        <v>1695</v>
      </c>
      <c r="G15" t="s">
        <v>38</v>
      </c>
      <c r="H15" t="str">
        <f>_xlfn.XLOOKUP(POCOS_G5[[#This Row],[US_acentuados]],Dados_Regionais_G5[US_acentuados],Dados_Regionais_G5[US_Maiusculas])</f>
        <v>ALEGRETE</v>
      </c>
      <c r="J15" t="s">
        <v>1696</v>
      </c>
      <c r="K15" t="s">
        <v>1692</v>
      </c>
      <c r="L15" t="s">
        <v>1659</v>
      </c>
      <c r="M15" t="s">
        <v>12</v>
      </c>
      <c r="N15" s="37">
        <v>3095800370</v>
      </c>
    </row>
    <row r="16" spans="1:14" x14ac:dyDescent="0.35">
      <c r="B16" s="23" t="s">
        <v>9</v>
      </c>
      <c r="C16" s="23" t="s">
        <v>29</v>
      </c>
      <c r="D16" s="27" t="s">
        <v>1697</v>
      </c>
      <c r="F16" t="s">
        <v>1698</v>
      </c>
      <c r="G16" t="s">
        <v>38</v>
      </c>
      <c r="H16" t="str">
        <f>_xlfn.XLOOKUP(POCOS_G5[[#This Row],[US_acentuados]],Dados_Regionais_G5[US_acentuados],Dados_Regionais_G5[US_Maiusculas])</f>
        <v>ALEGRETE</v>
      </c>
      <c r="J16" t="s">
        <v>1699</v>
      </c>
      <c r="K16" t="s">
        <v>1695</v>
      </c>
      <c r="L16" t="s">
        <v>1659</v>
      </c>
      <c r="M16" t="s">
        <v>12</v>
      </c>
      <c r="N16" s="37">
        <v>3095800373</v>
      </c>
    </row>
    <row r="17" spans="1:14" x14ac:dyDescent="0.35">
      <c r="B17" s="22" t="s">
        <v>11</v>
      </c>
      <c r="C17" s="22" t="s">
        <v>379</v>
      </c>
      <c r="D17" s="26" t="s">
        <v>1700</v>
      </c>
      <c r="F17" t="s">
        <v>1701</v>
      </c>
      <c r="G17" t="s">
        <v>38</v>
      </c>
      <c r="H17" t="str">
        <f>_xlfn.XLOOKUP(POCOS_G5[[#This Row],[US_acentuados]],Dados_Regionais_G5[US_acentuados],Dados_Regionais_G5[US_Maiusculas])</f>
        <v>ALEGRETE</v>
      </c>
      <c r="J17" t="s">
        <v>1702</v>
      </c>
      <c r="K17" t="s">
        <v>1698</v>
      </c>
      <c r="L17" t="s">
        <v>1659</v>
      </c>
      <c r="M17" t="s">
        <v>12</v>
      </c>
      <c r="N17" s="37">
        <v>3095800369</v>
      </c>
    </row>
    <row r="18" spans="1:14" x14ac:dyDescent="0.35">
      <c r="B18" s="25" t="s">
        <v>9</v>
      </c>
      <c r="C18" s="25" t="s">
        <v>33</v>
      </c>
      <c r="D18" s="28" t="s">
        <v>1703</v>
      </c>
      <c r="F18" t="s">
        <v>1704</v>
      </c>
      <c r="G18" t="s">
        <v>38</v>
      </c>
      <c r="H18" t="str">
        <f>_xlfn.XLOOKUP(POCOS_G5[[#This Row],[US_acentuados]],Dados_Regionais_G5[US_acentuados],Dados_Regionais_G5[US_Maiusculas])</f>
        <v>ALEGRETE</v>
      </c>
      <c r="J18" t="s">
        <v>1705</v>
      </c>
      <c r="K18" t="s">
        <v>1701</v>
      </c>
      <c r="L18" t="s">
        <v>1659</v>
      </c>
      <c r="M18" t="s">
        <v>12</v>
      </c>
      <c r="N18" s="37">
        <v>3095549037</v>
      </c>
    </row>
    <row r="19" spans="1:14" x14ac:dyDescent="0.35">
      <c r="A19" s="25"/>
      <c r="B19" s="25" t="s">
        <v>1655</v>
      </c>
      <c r="C19" s="25" t="s">
        <v>78</v>
      </c>
      <c r="D19" t="s">
        <v>1706</v>
      </c>
      <c r="F19" t="s">
        <v>1707</v>
      </c>
      <c r="G19" t="s">
        <v>38</v>
      </c>
      <c r="H19" t="str">
        <f>_xlfn.XLOOKUP(POCOS_G5[[#This Row],[US_acentuados]],Dados_Regionais_G5[US_acentuados],Dados_Regionais_G5[US_Maiusculas])</f>
        <v>ALEGRETE</v>
      </c>
      <c r="J19" t="s">
        <v>1708</v>
      </c>
      <c r="K19" t="s">
        <v>1704</v>
      </c>
      <c r="L19" t="s">
        <v>1659</v>
      </c>
      <c r="M19" t="s">
        <v>12</v>
      </c>
      <c r="N19" s="37">
        <v>3095713395</v>
      </c>
    </row>
    <row r="20" spans="1:14" x14ac:dyDescent="0.35">
      <c r="A20" s="25"/>
      <c r="B20" s="25" t="s">
        <v>1655</v>
      </c>
      <c r="C20" s="25" t="s">
        <v>120</v>
      </c>
      <c r="D20" t="s">
        <v>1709</v>
      </c>
      <c r="F20" t="s">
        <v>1710</v>
      </c>
      <c r="G20" t="s">
        <v>38</v>
      </c>
      <c r="H20" t="str">
        <f>_xlfn.XLOOKUP(POCOS_G5[[#This Row],[US_acentuados]],Dados_Regionais_G5[US_acentuados],Dados_Regionais_G5[US_Maiusculas])</f>
        <v>ALEGRETE</v>
      </c>
      <c r="J20" t="s">
        <v>1711</v>
      </c>
      <c r="K20" t="s">
        <v>1712</v>
      </c>
      <c r="L20" t="s">
        <v>1659</v>
      </c>
      <c r="M20" t="s">
        <v>14</v>
      </c>
      <c r="N20" s="37">
        <v>11555</v>
      </c>
    </row>
    <row r="21" spans="1:14" x14ac:dyDescent="0.35">
      <c r="A21" s="25"/>
      <c r="B21" s="25" t="s">
        <v>1655</v>
      </c>
      <c r="C21" s="25" t="s">
        <v>174</v>
      </c>
      <c r="D21" t="s">
        <v>1713</v>
      </c>
      <c r="F21" t="s">
        <v>1714</v>
      </c>
      <c r="G21" t="s">
        <v>39</v>
      </c>
      <c r="H21" t="str">
        <f>_xlfn.XLOOKUP(POCOS_G5[[#This Row],[US_acentuados]],Dados_Regionais_G5[US_acentuados],Dados_Regionais_G5[US_Maiusculas])</f>
        <v>BARRA DO QUARAI</v>
      </c>
      <c r="J21" t="s">
        <v>1715</v>
      </c>
      <c r="K21" t="s">
        <v>1716</v>
      </c>
      <c r="L21" t="s">
        <v>1659</v>
      </c>
      <c r="M21" t="s">
        <v>14</v>
      </c>
      <c r="N21" s="37">
        <v>11008</v>
      </c>
    </row>
    <row r="22" spans="1:14" x14ac:dyDescent="0.35">
      <c r="A22" s="25"/>
      <c r="B22" s="25" t="s">
        <v>1655</v>
      </c>
      <c r="C22" s="25" t="s">
        <v>879</v>
      </c>
      <c r="D22" t="s">
        <v>1717</v>
      </c>
      <c r="F22" t="s">
        <v>1718</v>
      </c>
      <c r="G22" t="s">
        <v>39</v>
      </c>
      <c r="H22" t="str">
        <f>_xlfn.XLOOKUP(POCOS_G5[[#This Row],[US_acentuados]],Dados_Regionais_G5[US_acentuados],Dados_Regionais_G5[US_Maiusculas])</f>
        <v>BARRA DO QUARAI</v>
      </c>
      <c r="J22" t="s">
        <v>1719</v>
      </c>
      <c r="K22" t="s">
        <v>1720</v>
      </c>
      <c r="L22" t="s">
        <v>1659</v>
      </c>
      <c r="M22" t="s">
        <v>14</v>
      </c>
      <c r="N22" s="37">
        <v>12810</v>
      </c>
    </row>
    <row r="23" spans="1:14" x14ac:dyDescent="0.35">
      <c r="A23" s="25"/>
      <c r="B23" s="25" t="s">
        <v>1655</v>
      </c>
      <c r="C23" s="25" t="s">
        <v>217</v>
      </c>
      <c r="D23" t="s">
        <v>1721</v>
      </c>
      <c r="F23" t="s">
        <v>1712</v>
      </c>
      <c r="G23" t="s">
        <v>40</v>
      </c>
      <c r="H23" t="str">
        <f>_xlfn.XLOOKUP(POCOS_G5[[#This Row],[US_acentuados]],Dados_Regionais_G5[US_acentuados],Dados_Regionais_G5[US_Maiusculas])</f>
        <v>BOSSOROCA</v>
      </c>
      <c r="J23" t="s">
        <v>1722</v>
      </c>
      <c r="K23" t="s">
        <v>1714</v>
      </c>
      <c r="L23" t="s">
        <v>1659</v>
      </c>
      <c r="M23" t="s">
        <v>112</v>
      </c>
      <c r="N23" s="37">
        <v>3092463710</v>
      </c>
    </row>
    <row r="24" spans="1:14" x14ac:dyDescent="0.35">
      <c r="A24" s="25"/>
      <c r="B24" s="25" t="s">
        <v>1655</v>
      </c>
      <c r="C24" s="25" t="s">
        <v>257</v>
      </c>
      <c r="D24" t="s">
        <v>1723</v>
      </c>
      <c r="F24" t="s">
        <v>1716</v>
      </c>
      <c r="G24" t="s">
        <v>40</v>
      </c>
      <c r="H24" t="str">
        <f>_xlfn.XLOOKUP(POCOS_G5[[#This Row],[US_acentuados]],Dados_Regionais_G5[US_acentuados],Dados_Regionais_G5[US_Maiusculas])</f>
        <v>BOSSOROCA</v>
      </c>
      <c r="J24" t="s">
        <v>1724</v>
      </c>
      <c r="K24" t="s">
        <v>1718</v>
      </c>
      <c r="L24" t="s">
        <v>1659</v>
      </c>
      <c r="M24" t="s">
        <v>112</v>
      </c>
      <c r="N24" s="37">
        <v>3092463710</v>
      </c>
    </row>
    <row r="25" spans="1:14" x14ac:dyDescent="0.35">
      <c r="A25" s="25"/>
      <c r="B25" s="25" t="s">
        <v>1655</v>
      </c>
      <c r="C25" s="25" t="s">
        <v>325</v>
      </c>
      <c r="D25" t="s">
        <v>1725</v>
      </c>
      <c r="F25" t="s">
        <v>1720</v>
      </c>
      <c r="G25" t="s">
        <v>40</v>
      </c>
      <c r="H25" t="str">
        <f>_xlfn.XLOOKUP(POCOS_G5[[#This Row],[US_acentuados]],Dados_Regionais_G5[US_acentuados],Dados_Regionais_G5[US_Maiusculas])</f>
        <v>BOSSOROCA</v>
      </c>
      <c r="J25" t="s">
        <v>1726</v>
      </c>
      <c r="K25" t="s">
        <v>1727</v>
      </c>
      <c r="L25" t="s">
        <v>1659</v>
      </c>
      <c r="M25" t="s">
        <v>16</v>
      </c>
      <c r="N25" s="37">
        <v>3092569032</v>
      </c>
    </row>
    <row r="26" spans="1:14" x14ac:dyDescent="0.35">
      <c r="A26" s="25"/>
      <c r="B26" s="25" t="s">
        <v>1655</v>
      </c>
      <c r="C26" s="25" t="s">
        <v>347</v>
      </c>
      <c r="D26" t="s">
        <v>1656</v>
      </c>
      <c r="F26" t="s">
        <v>1727</v>
      </c>
      <c r="G26" t="s">
        <v>42</v>
      </c>
      <c r="H26" t="str">
        <f>_xlfn.XLOOKUP(POCOS_G5[[#This Row],[US_acentuados]],Dados_Regionais_G5[US_acentuados],Dados_Regionais_G5[US_Maiusculas])</f>
        <v>CACEQUI</v>
      </c>
      <c r="J26" t="s">
        <v>1728</v>
      </c>
      <c r="K26" t="s">
        <v>1729</v>
      </c>
      <c r="L26" t="s">
        <v>1659</v>
      </c>
      <c r="M26" t="s">
        <v>268</v>
      </c>
      <c r="N26" s="37">
        <v>46517707</v>
      </c>
    </row>
    <row r="27" spans="1:14" x14ac:dyDescent="0.35">
      <c r="A27" s="25"/>
      <c r="B27" s="25" t="s">
        <v>1655</v>
      </c>
      <c r="C27" s="25" t="s">
        <v>347</v>
      </c>
      <c r="D27" s="28" t="s">
        <v>1666</v>
      </c>
      <c r="F27" t="s">
        <v>1730</v>
      </c>
      <c r="G27" t="s">
        <v>42</v>
      </c>
      <c r="H27" t="str">
        <f>_xlfn.XLOOKUP(POCOS_G5[[#This Row],[US_acentuados]],Dados_Regionais_G5[US_acentuados],Dados_Regionais_G5[US_Maiusculas])</f>
        <v>CACEQUI</v>
      </c>
      <c r="J27" t="s">
        <v>1731</v>
      </c>
      <c r="K27" t="s">
        <v>1660</v>
      </c>
      <c r="L27" t="s">
        <v>1648</v>
      </c>
      <c r="M27" t="s">
        <v>12</v>
      </c>
      <c r="N27" s="37">
        <v>3095641510</v>
      </c>
    </row>
    <row r="28" spans="1:14" x14ac:dyDescent="0.35">
      <c r="F28" t="s">
        <v>1732</v>
      </c>
      <c r="G28" t="s">
        <v>45</v>
      </c>
      <c r="H28" t="str">
        <f>_xlfn.XLOOKUP(POCOS_G5[[#This Row],[US_acentuados]],Dados_Regionais_G5[US_acentuados],Dados_Regionais_G5[US_Maiusculas])</f>
        <v>ITAQUI</v>
      </c>
      <c r="J28" t="s">
        <v>1733</v>
      </c>
      <c r="K28" t="s">
        <v>1663</v>
      </c>
      <c r="L28" t="s">
        <v>1648</v>
      </c>
      <c r="M28" t="s">
        <v>112</v>
      </c>
      <c r="N28" s="37">
        <v>3092463710</v>
      </c>
    </row>
    <row r="29" spans="1:14" x14ac:dyDescent="0.35">
      <c r="F29" t="s">
        <v>1734</v>
      </c>
      <c r="G29" t="s">
        <v>45</v>
      </c>
      <c r="H29" t="str">
        <f>_xlfn.XLOOKUP(POCOS_G5[[#This Row],[US_acentuados]],Dados_Regionais_G5[US_acentuados],Dados_Regionais_G5[US_Maiusculas])</f>
        <v>ITAQUI</v>
      </c>
      <c r="J29" t="s">
        <v>1735</v>
      </c>
      <c r="K29" t="s">
        <v>1672</v>
      </c>
      <c r="L29" t="s">
        <v>1648</v>
      </c>
      <c r="M29" t="s">
        <v>17</v>
      </c>
      <c r="N29" s="37">
        <v>72686413</v>
      </c>
    </row>
    <row r="30" spans="1:14" x14ac:dyDescent="0.35">
      <c r="F30" t="s">
        <v>1736</v>
      </c>
      <c r="G30" t="s">
        <v>45</v>
      </c>
      <c r="H30" t="str">
        <f>_xlfn.XLOOKUP(POCOS_G5[[#This Row],[US_acentuados]],Dados_Regionais_G5[US_acentuados],Dados_Regionais_G5[US_Maiusculas])</f>
        <v>ITAQUI</v>
      </c>
      <c r="J30" t="s">
        <v>1737</v>
      </c>
      <c r="K30" t="s">
        <v>1678</v>
      </c>
      <c r="L30" t="s">
        <v>1648</v>
      </c>
      <c r="M30" t="s">
        <v>19</v>
      </c>
      <c r="N30" s="37">
        <v>3092481006</v>
      </c>
    </row>
    <row r="31" spans="1:14" x14ac:dyDescent="0.35">
      <c r="F31" t="s">
        <v>1738</v>
      </c>
      <c r="G31" t="s">
        <v>48</v>
      </c>
      <c r="H31" t="str">
        <f>_xlfn.XLOOKUP(POCOS_G5[[#This Row],[US_acentuados]],Dados_Regionais_G5[US_acentuados],Dados_Regionais_G5[US_Maiusculas])</f>
        <v>MACAMBARA</v>
      </c>
      <c r="J31" t="s">
        <v>1739</v>
      </c>
      <c r="K31" t="s">
        <v>1681</v>
      </c>
      <c r="L31" t="s">
        <v>1648</v>
      </c>
      <c r="M31" t="s">
        <v>20</v>
      </c>
      <c r="N31" s="37">
        <v>3092460505</v>
      </c>
    </row>
    <row r="32" spans="1:14" x14ac:dyDescent="0.35">
      <c r="F32" t="s">
        <v>1740</v>
      </c>
      <c r="G32" t="s">
        <v>49</v>
      </c>
      <c r="H32" t="str">
        <f>_xlfn.XLOOKUP(POCOS_G5[[#This Row],[US_acentuados]],Dados_Regionais_G5[US_acentuados],Dados_Regionais_G5[US_Maiusculas])</f>
        <v>MANOEL VIANA</v>
      </c>
      <c r="J32" t="s">
        <v>1741</v>
      </c>
      <c r="K32" t="s">
        <v>1688</v>
      </c>
      <c r="L32" t="s">
        <v>1648</v>
      </c>
      <c r="M32" t="s">
        <v>313</v>
      </c>
      <c r="N32" s="37">
        <v>3092460547</v>
      </c>
    </row>
    <row r="33" spans="6:14" x14ac:dyDescent="0.35">
      <c r="F33" t="s">
        <v>1742</v>
      </c>
      <c r="G33" t="s">
        <v>49</v>
      </c>
      <c r="H33" t="str">
        <f>_xlfn.XLOOKUP(POCOS_G5[[#This Row],[US_acentuados]],Dados_Regionais_G5[US_acentuados],Dados_Regionais_G5[US_Maiusculas])</f>
        <v>MANOEL VIANA</v>
      </c>
      <c r="J33" t="s">
        <v>1743</v>
      </c>
      <c r="K33" t="s">
        <v>1697</v>
      </c>
      <c r="L33" t="s">
        <v>1648</v>
      </c>
      <c r="M33" t="s">
        <v>29</v>
      </c>
      <c r="N33" s="37">
        <v>3092463406</v>
      </c>
    </row>
    <row r="34" spans="6:14" x14ac:dyDescent="0.35">
      <c r="F34" t="s">
        <v>1744</v>
      </c>
      <c r="G34" t="s">
        <v>49</v>
      </c>
      <c r="H34" t="str">
        <f>_xlfn.XLOOKUP(POCOS_G5[[#This Row],[US_acentuados]],Dados_Regionais_G5[US_acentuados],Dados_Regionais_G5[US_Maiusculas])</f>
        <v>MANOEL VIANA</v>
      </c>
      <c r="J34" t="s">
        <v>1745</v>
      </c>
      <c r="K34" t="s">
        <v>1703</v>
      </c>
      <c r="L34" t="s">
        <v>1648</v>
      </c>
      <c r="M34" t="s">
        <v>33</v>
      </c>
      <c r="N34" s="37">
        <v>3092463215</v>
      </c>
    </row>
    <row r="35" spans="6:14" x14ac:dyDescent="0.35">
      <c r="F35" t="s">
        <v>1746</v>
      </c>
      <c r="G35" t="s">
        <v>901</v>
      </c>
      <c r="H35" t="str">
        <f>_xlfn.XLOOKUP(POCOS_G5[[#This Row],[US_acentuados]],Dados_Regionais_G5[US_acentuados],Dados_Regionais_G5[US_Maiusculas])</f>
        <v>NOVA ESPERANCA DO SUL</v>
      </c>
      <c r="J35" t="s">
        <v>1747</v>
      </c>
      <c r="K35" t="s">
        <v>1748</v>
      </c>
      <c r="L35" t="s">
        <v>1648</v>
      </c>
      <c r="M35" t="s">
        <v>341</v>
      </c>
      <c r="N35" s="37">
        <v>3092473642</v>
      </c>
    </row>
    <row r="36" spans="6:14" x14ac:dyDescent="0.35">
      <c r="F36" t="s">
        <v>1749</v>
      </c>
      <c r="G36" t="s">
        <v>51</v>
      </c>
      <c r="H36" t="str">
        <f>_xlfn.XLOOKUP(POCOS_G5[[#This Row],[US_acentuados]],Dados_Regionais_G5[US_acentuados],Dados_Regionais_G5[US_Maiusculas])</f>
        <v>QUARAI</v>
      </c>
      <c r="J36" t="s">
        <v>1747</v>
      </c>
      <c r="K36" t="s">
        <v>1750</v>
      </c>
      <c r="L36" t="s">
        <v>1648</v>
      </c>
      <c r="M36" t="s">
        <v>379</v>
      </c>
      <c r="N36" s="37">
        <v>3092473642</v>
      </c>
    </row>
    <row r="37" spans="6:14" x14ac:dyDescent="0.35">
      <c r="F37" t="s">
        <v>1751</v>
      </c>
      <c r="G37" t="s">
        <v>51</v>
      </c>
      <c r="H37" t="str">
        <f>_xlfn.XLOOKUP(POCOS_G5[[#This Row],[US_acentuados]],Dados_Regionais_G5[US_acentuados],Dados_Regionais_G5[US_Maiusculas])</f>
        <v>QUARAI</v>
      </c>
      <c r="J37" t="s">
        <v>1752</v>
      </c>
      <c r="K37" t="s">
        <v>1732</v>
      </c>
      <c r="L37" t="s">
        <v>1659</v>
      </c>
      <c r="M37" t="s">
        <v>19</v>
      </c>
      <c r="N37" s="37">
        <v>3092463662</v>
      </c>
    </row>
    <row r="38" spans="6:14" x14ac:dyDescent="0.35">
      <c r="F38" t="s">
        <v>1753</v>
      </c>
      <c r="G38" t="s">
        <v>51</v>
      </c>
      <c r="H38" t="str">
        <f>_xlfn.XLOOKUP(POCOS_G5[[#This Row],[US_acentuados]],Dados_Regionais_G5[US_acentuados],Dados_Regionais_G5[US_Maiusculas])</f>
        <v>QUARAI</v>
      </c>
      <c r="J38" t="s">
        <v>1754</v>
      </c>
      <c r="K38" t="s">
        <v>1734</v>
      </c>
      <c r="L38" t="s">
        <v>1659</v>
      </c>
      <c r="M38" t="s">
        <v>19</v>
      </c>
      <c r="N38" s="37">
        <v>1010110040</v>
      </c>
    </row>
    <row r="39" spans="6:14" x14ac:dyDescent="0.35">
      <c r="F39" t="s">
        <v>1755</v>
      </c>
      <c r="G39" t="s">
        <v>51</v>
      </c>
      <c r="H39" t="str">
        <f>_xlfn.XLOOKUP(POCOS_G5[[#This Row],[US_acentuados]],Dados_Regionais_G5[US_acentuados],Dados_Regionais_G5[US_Maiusculas])</f>
        <v>QUARAI</v>
      </c>
      <c r="J39" t="s">
        <v>1756</v>
      </c>
      <c r="K39" t="s">
        <v>1736</v>
      </c>
      <c r="L39" t="s">
        <v>1659</v>
      </c>
      <c r="M39" t="s">
        <v>19</v>
      </c>
      <c r="N39" s="37">
        <v>3092481006</v>
      </c>
    </row>
    <row r="40" spans="6:14" x14ac:dyDescent="0.35">
      <c r="F40" t="s">
        <v>1757</v>
      </c>
      <c r="G40" t="s">
        <v>51</v>
      </c>
      <c r="H40" t="str">
        <f>_xlfn.XLOOKUP(POCOS_G5[[#This Row],[US_acentuados]],Dados_Regionais_G5[US_acentuados],Dados_Regionais_G5[US_Maiusculas])</f>
        <v>QUARAI</v>
      </c>
      <c r="J40" t="s">
        <v>1758</v>
      </c>
      <c r="K40" t="s">
        <v>1738</v>
      </c>
      <c r="L40" t="s">
        <v>1659</v>
      </c>
      <c r="M40" t="s">
        <v>292</v>
      </c>
      <c r="N40" s="37">
        <v>3092463705</v>
      </c>
    </row>
    <row r="41" spans="6:14" x14ac:dyDescent="0.35">
      <c r="F41" t="s">
        <v>1759</v>
      </c>
      <c r="G41" t="s">
        <v>51</v>
      </c>
      <c r="H41" t="str">
        <f>_xlfn.XLOOKUP(POCOS_G5[[#This Row],[US_acentuados]],Dados_Regionais_G5[US_acentuados],Dados_Regionais_G5[US_Maiusculas])</f>
        <v>QUARAI</v>
      </c>
      <c r="J41" t="s">
        <v>1760</v>
      </c>
      <c r="K41" t="s">
        <v>1740</v>
      </c>
      <c r="L41" t="s">
        <v>1659</v>
      </c>
      <c r="M41" t="s">
        <v>23</v>
      </c>
      <c r="N41" s="37">
        <v>3092500980</v>
      </c>
    </row>
    <row r="42" spans="6:14" x14ac:dyDescent="0.35">
      <c r="F42" t="s">
        <v>1761</v>
      </c>
      <c r="G42" t="s">
        <v>51</v>
      </c>
      <c r="H42" t="str">
        <f>_xlfn.XLOOKUP(POCOS_G5[[#This Row],[US_acentuados]],Dados_Regionais_G5[US_acentuados],Dados_Regionais_G5[US_Maiusculas])</f>
        <v>QUARAI</v>
      </c>
      <c r="J42" t="s">
        <v>1762</v>
      </c>
      <c r="K42" t="s">
        <v>1742</v>
      </c>
      <c r="L42" t="s">
        <v>1659</v>
      </c>
      <c r="M42" t="s">
        <v>23</v>
      </c>
      <c r="N42" s="37">
        <v>3092582813</v>
      </c>
    </row>
    <row r="43" spans="6:14" x14ac:dyDescent="0.35">
      <c r="F43" t="s">
        <v>1763</v>
      </c>
      <c r="G43" t="s">
        <v>51</v>
      </c>
      <c r="H43" t="str">
        <f>_xlfn.XLOOKUP(POCOS_G5[[#This Row],[US_acentuados]],Dados_Regionais_G5[US_acentuados],Dados_Regionais_G5[US_Maiusculas])</f>
        <v>QUARAI</v>
      </c>
      <c r="J43" t="s">
        <v>1764</v>
      </c>
      <c r="K43" t="s">
        <v>1744</v>
      </c>
      <c r="L43" t="s">
        <v>1659</v>
      </c>
      <c r="M43" t="s">
        <v>23</v>
      </c>
      <c r="N43" s="37">
        <v>3093072385</v>
      </c>
    </row>
    <row r="44" spans="6:14" x14ac:dyDescent="0.35">
      <c r="F44" t="s">
        <v>1765</v>
      </c>
      <c r="G44" t="s">
        <v>57</v>
      </c>
      <c r="H44" t="str">
        <f>_xlfn.XLOOKUP(POCOS_G5[[#This Row],[US_acentuados]],Dados_Regionais_G5[US_acentuados],Dados_Regionais_G5[US_Maiusculas])</f>
        <v>SAO FRANCISCO DE ASSIS</v>
      </c>
      <c r="J44" t="s">
        <v>1766</v>
      </c>
      <c r="K44" t="s">
        <v>1746</v>
      </c>
      <c r="L44" t="s">
        <v>1659</v>
      </c>
      <c r="M44" t="s">
        <v>313</v>
      </c>
      <c r="N44" s="37">
        <v>4003992050</v>
      </c>
    </row>
    <row r="45" spans="6:14" x14ac:dyDescent="0.35">
      <c r="F45" t="s">
        <v>1767</v>
      </c>
      <c r="G45" t="s">
        <v>57</v>
      </c>
      <c r="H45" t="str">
        <f>_xlfn.XLOOKUP(POCOS_G5[[#This Row],[US_acentuados]],Dados_Regionais_G5[US_acentuados],Dados_Regionais_G5[US_Maiusculas])</f>
        <v>SAO FRANCISCO DE ASSIS</v>
      </c>
      <c r="J45" t="s">
        <v>1768</v>
      </c>
      <c r="K45" t="s">
        <v>1707</v>
      </c>
      <c r="L45" t="s">
        <v>1659</v>
      </c>
      <c r="M45" t="s">
        <v>12</v>
      </c>
      <c r="N45" s="37">
        <v>3095358548</v>
      </c>
    </row>
    <row r="46" spans="6:14" x14ac:dyDescent="0.35">
      <c r="F46" t="s">
        <v>1769</v>
      </c>
      <c r="G46" t="s">
        <v>57</v>
      </c>
      <c r="H46" t="str">
        <f>_xlfn.XLOOKUP(POCOS_G5[[#This Row],[US_acentuados]],Dados_Regionais_G5[US_acentuados],Dados_Regionais_G5[US_Maiusculas])</f>
        <v>SAO FRANCISCO DE ASSIS</v>
      </c>
      <c r="J46" t="s">
        <v>1770</v>
      </c>
      <c r="K46" t="s">
        <v>1749</v>
      </c>
      <c r="L46" t="s">
        <v>1659</v>
      </c>
      <c r="M46" t="s">
        <v>330</v>
      </c>
      <c r="N46" s="37">
        <v>3092472114</v>
      </c>
    </row>
    <row r="47" spans="6:14" x14ac:dyDescent="0.35">
      <c r="F47" t="s">
        <v>1771</v>
      </c>
      <c r="G47" t="s">
        <v>57</v>
      </c>
      <c r="H47" t="str">
        <f>_xlfn.XLOOKUP(POCOS_G5[[#This Row],[US_acentuados]],Dados_Regionais_G5[US_acentuados],Dados_Regionais_G5[US_Maiusculas])</f>
        <v>SAO FRANCISCO DE ASSIS</v>
      </c>
      <c r="J47" t="s">
        <v>1772</v>
      </c>
      <c r="K47" t="s">
        <v>1751</v>
      </c>
      <c r="L47" t="s">
        <v>1659</v>
      </c>
      <c r="M47" t="s">
        <v>330</v>
      </c>
      <c r="N47" s="37">
        <v>3092461725</v>
      </c>
    </row>
    <row r="48" spans="6:14" x14ac:dyDescent="0.35">
      <c r="F48" t="s">
        <v>1773</v>
      </c>
      <c r="G48" t="s">
        <v>57</v>
      </c>
      <c r="H48" t="str">
        <f>_xlfn.XLOOKUP(POCOS_G5[[#This Row],[US_acentuados]],Dados_Regionais_G5[US_acentuados],Dados_Regionais_G5[US_Maiusculas])</f>
        <v>SAO FRANCISCO DE ASSIS</v>
      </c>
      <c r="J48" t="s">
        <v>1774</v>
      </c>
      <c r="K48" t="s">
        <v>1755</v>
      </c>
      <c r="L48" t="s">
        <v>1659</v>
      </c>
      <c r="M48" t="s">
        <v>330</v>
      </c>
      <c r="N48" s="37">
        <v>3093027262</v>
      </c>
    </row>
    <row r="49" spans="6:14" x14ac:dyDescent="0.35">
      <c r="F49" t="s">
        <v>1775</v>
      </c>
      <c r="G49" t="s">
        <v>57</v>
      </c>
      <c r="H49" t="str">
        <f>_xlfn.XLOOKUP(POCOS_G5[[#This Row],[US_acentuados]],Dados_Regionais_G5[US_acentuados],Dados_Regionais_G5[US_Maiusculas])</f>
        <v>SAO FRANCISCO DE ASSIS</v>
      </c>
      <c r="J49" t="s">
        <v>1776</v>
      </c>
      <c r="K49" t="s">
        <v>1757</v>
      </c>
      <c r="L49" t="s">
        <v>1659</v>
      </c>
      <c r="M49" t="s">
        <v>330</v>
      </c>
      <c r="N49" s="37">
        <v>3095339059</v>
      </c>
    </row>
    <row r="50" spans="6:14" x14ac:dyDescent="0.35">
      <c r="F50" t="s">
        <v>1777</v>
      </c>
      <c r="G50" t="s">
        <v>919</v>
      </c>
      <c r="H50" t="str">
        <f>_xlfn.XLOOKUP(POCOS_G5[[#This Row],[US_acentuados]],Dados_Regionais_G5[US_acentuados],Dados_Regionais_G5[US_Maiusculas])</f>
        <v>SAO VICENTE DO SUL</v>
      </c>
      <c r="J50" t="s">
        <v>1778</v>
      </c>
      <c r="K50" t="s">
        <v>1759</v>
      </c>
      <c r="L50" t="s">
        <v>1659</v>
      </c>
      <c r="M50" t="s">
        <v>330</v>
      </c>
      <c r="N50" s="37">
        <v>3095032698</v>
      </c>
    </row>
    <row r="51" spans="6:14" x14ac:dyDescent="0.35">
      <c r="F51" t="s">
        <v>1779</v>
      </c>
      <c r="G51" t="s">
        <v>919</v>
      </c>
      <c r="H51" t="str">
        <f>_xlfn.XLOOKUP(POCOS_G5[[#This Row],[US_acentuados]],Dados_Regionais_G5[US_acentuados],Dados_Regionais_G5[US_Maiusculas])</f>
        <v>SAO VICENTE DO SUL</v>
      </c>
      <c r="J51" t="s">
        <v>1780</v>
      </c>
      <c r="K51" t="s">
        <v>1761</v>
      </c>
      <c r="L51" t="s">
        <v>1659</v>
      </c>
      <c r="M51" t="s">
        <v>330</v>
      </c>
      <c r="N51" s="37">
        <v>3095077756</v>
      </c>
    </row>
    <row r="52" spans="6:14" x14ac:dyDescent="0.35">
      <c r="F52" t="s">
        <v>1781</v>
      </c>
      <c r="G52" t="s">
        <v>919</v>
      </c>
      <c r="H52" t="str">
        <f>_xlfn.XLOOKUP(POCOS_G5[[#This Row],[US_acentuados]],Dados_Regionais_G5[US_acentuados],Dados_Regionais_G5[US_Maiusculas])</f>
        <v>SAO VICENTE DO SUL</v>
      </c>
      <c r="J52" t="s">
        <v>1782</v>
      </c>
      <c r="K52" t="s">
        <v>1765</v>
      </c>
      <c r="L52" t="s">
        <v>1659</v>
      </c>
      <c r="M52" t="s">
        <v>384</v>
      </c>
      <c r="N52" s="37">
        <v>3095650274</v>
      </c>
    </row>
    <row r="53" spans="6:14" x14ac:dyDescent="0.35">
      <c r="F53" t="s">
        <v>1783</v>
      </c>
      <c r="G53" t="s">
        <v>919</v>
      </c>
      <c r="H53" t="str">
        <f>_xlfn.XLOOKUP(POCOS_G5[[#This Row],[US_acentuados]],Dados_Regionais_G5[US_acentuados],Dados_Regionais_G5[US_Maiusculas])</f>
        <v>SAO VICENTE DO SUL</v>
      </c>
      <c r="J53" t="s">
        <v>1784</v>
      </c>
      <c r="K53" t="s">
        <v>1767</v>
      </c>
      <c r="L53" t="s">
        <v>1659</v>
      </c>
      <c r="M53" t="s">
        <v>384</v>
      </c>
      <c r="N53" s="37">
        <v>3095800364</v>
      </c>
    </row>
    <row r="54" spans="6:14" x14ac:dyDescent="0.35">
      <c r="F54" s="48" t="s">
        <v>1785</v>
      </c>
      <c r="H54" t="s">
        <v>363</v>
      </c>
      <c r="J54" t="s">
        <v>1786</v>
      </c>
      <c r="K54" t="s">
        <v>1769</v>
      </c>
      <c r="L54" t="s">
        <v>1659</v>
      </c>
      <c r="M54" t="s">
        <v>384</v>
      </c>
      <c r="N54" s="37">
        <v>3095800366</v>
      </c>
    </row>
    <row r="55" spans="6:14" x14ac:dyDescent="0.35">
      <c r="F55" s="47" t="s">
        <v>1787</v>
      </c>
      <c r="G55" s="47"/>
      <c r="H55" t="s">
        <v>363</v>
      </c>
      <c r="J55" t="s">
        <v>1788</v>
      </c>
      <c r="K55" t="s">
        <v>1771</v>
      </c>
      <c r="L55" t="s">
        <v>1659</v>
      </c>
      <c r="M55" t="s">
        <v>384</v>
      </c>
      <c r="N55" s="37">
        <v>3092946091</v>
      </c>
    </row>
    <row r="56" spans="6:14" x14ac:dyDescent="0.35">
      <c r="F56" s="47" t="s">
        <v>1789</v>
      </c>
      <c r="G56" s="47"/>
      <c r="H56" t="s">
        <v>363</v>
      </c>
      <c r="J56" t="s">
        <v>1790</v>
      </c>
      <c r="K56" t="s">
        <v>1773</v>
      </c>
      <c r="L56" t="s">
        <v>1659</v>
      </c>
      <c r="M56" t="s">
        <v>384</v>
      </c>
      <c r="N56" s="37">
        <v>3093293872</v>
      </c>
    </row>
    <row r="57" spans="6:14" x14ac:dyDescent="0.35">
      <c r="F57" s="47" t="s">
        <v>1791</v>
      </c>
      <c r="H57" t="s">
        <v>363</v>
      </c>
      <c r="J57" t="s">
        <v>1792</v>
      </c>
      <c r="K57" t="s">
        <v>1775</v>
      </c>
      <c r="L57" t="s">
        <v>1659</v>
      </c>
      <c r="M57" t="s">
        <v>384</v>
      </c>
      <c r="N57" s="37">
        <v>4003686205</v>
      </c>
    </row>
    <row r="58" spans="6:14" x14ac:dyDescent="0.35">
      <c r="F58" s="47" t="s">
        <v>1785</v>
      </c>
      <c r="H58" t="s">
        <v>363</v>
      </c>
      <c r="J58" t="s">
        <v>1777</v>
      </c>
      <c r="K58" t="s">
        <v>1777</v>
      </c>
      <c r="L58" t="s">
        <v>1659</v>
      </c>
      <c r="M58" t="s">
        <v>418</v>
      </c>
      <c r="N58" s="38">
        <v>3092460488</v>
      </c>
    </row>
    <row r="59" spans="6:14" x14ac:dyDescent="0.35">
      <c r="F59" s="47" t="s">
        <v>1793</v>
      </c>
      <c r="H59" t="s">
        <v>149</v>
      </c>
      <c r="J59" t="s">
        <v>1730</v>
      </c>
      <c r="K59" t="s">
        <v>1730</v>
      </c>
      <c r="L59" t="s">
        <v>1659</v>
      </c>
      <c r="M59" t="s">
        <v>16</v>
      </c>
      <c r="N59" s="38">
        <v>3092460725</v>
      </c>
    </row>
    <row r="60" spans="6:14" x14ac:dyDescent="0.35">
      <c r="F60" s="46" t="s">
        <v>1794</v>
      </c>
      <c r="G60" s="46"/>
      <c r="H60" t="s">
        <v>149</v>
      </c>
      <c r="J60" t="s">
        <v>1795</v>
      </c>
      <c r="K60" t="s">
        <v>1710</v>
      </c>
      <c r="L60" t="s">
        <v>1659</v>
      </c>
      <c r="M60" t="s">
        <v>12</v>
      </c>
      <c r="N60" s="37">
        <v>3091509806</v>
      </c>
    </row>
    <row r="61" spans="6:14" x14ac:dyDescent="0.35">
      <c r="F61" s="46" t="s">
        <v>1796</v>
      </c>
      <c r="G61" s="46"/>
      <c r="H61" t="s">
        <v>149</v>
      </c>
      <c r="J61" t="s">
        <v>1797</v>
      </c>
      <c r="K61" t="s">
        <v>1779</v>
      </c>
      <c r="L61" t="s">
        <v>1659</v>
      </c>
      <c r="M61" t="s">
        <v>418</v>
      </c>
      <c r="N61" s="37">
        <v>3095683771</v>
      </c>
    </row>
    <row r="62" spans="6:14" x14ac:dyDescent="0.35">
      <c r="F62" s="46" t="s">
        <v>1798</v>
      </c>
      <c r="G62" s="46"/>
      <c r="H62" t="s">
        <v>181</v>
      </c>
      <c r="J62" t="s">
        <v>1799</v>
      </c>
      <c r="K62" t="s">
        <v>1781</v>
      </c>
      <c r="L62" t="s">
        <v>1659</v>
      </c>
      <c r="M62" t="s">
        <v>418</v>
      </c>
      <c r="N62" s="37">
        <v>3093199793</v>
      </c>
    </row>
    <row r="63" spans="6:14" x14ac:dyDescent="0.35">
      <c r="F63" s="46" t="s">
        <v>1800</v>
      </c>
      <c r="H63" t="s">
        <v>181</v>
      </c>
      <c r="J63" t="s">
        <v>1801</v>
      </c>
      <c r="K63" t="s">
        <v>1783</v>
      </c>
      <c r="L63" t="s">
        <v>1659</v>
      </c>
      <c r="M63" t="s">
        <v>418</v>
      </c>
      <c r="N63" s="37">
        <v>4003603236</v>
      </c>
    </row>
    <row r="64" spans="6:14" x14ac:dyDescent="0.35">
      <c r="F64" s="46" t="s">
        <v>1802</v>
      </c>
      <c r="G64" s="46"/>
      <c r="H64" t="s">
        <v>181</v>
      </c>
    </row>
    <row r="65" spans="6:8" x14ac:dyDescent="0.35">
      <c r="F65" s="46" t="s">
        <v>1803</v>
      </c>
      <c r="H65" s="46" t="s">
        <v>210</v>
      </c>
    </row>
    <row r="66" spans="6:8" x14ac:dyDescent="0.35">
      <c r="F66" s="46" t="s">
        <v>1804</v>
      </c>
      <c r="H66" s="46" t="s">
        <v>210</v>
      </c>
    </row>
    <row r="67" spans="6:8" x14ac:dyDescent="0.35">
      <c r="F67" s="46" t="s">
        <v>1805</v>
      </c>
      <c r="H67" s="48" t="s">
        <v>210</v>
      </c>
    </row>
    <row r="68" spans="6:8" x14ac:dyDescent="0.35">
      <c r="F68" s="48" t="s">
        <v>1806</v>
      </c>
      <c r="H68" s="46" t="s">
        <v>210</v>
      </c>
    </row>
    <row r="69" spans="6:8" x14ac:dyDescent="0.35">
      <c r="F69" s="46" t="s">
        <v>1807</v>
      </c>
      <c r="H69" s="48" t="s">
        <v>210</v>
      </c>
    </row>
    <row r="70" spans="6:8" x14ac:dyDescent="0.35">
      <c r="F70" s="46" t="s">
        <v>1808</v>
      </c>
      <c r="H70" s="46" t="s">
        <v>210</v>
      </c>
    </row>
    <row r="71" spans="6:8" x14ac:dyDescent="0.35">
      <c r="F71" s="46" t="s">
        <v>1809</v>
      </c>
      <c r="H71" s="46" t="s">
        <v>336</v>
      </c>
    </row>
    <row r="72" spans="6:8" x14ac:dyDescent="0.35">
      <c r="F72" s="46" t="s">
        <v>1810</v>
      </c>
      <c r="H72" s="48" t="s">
        <v>336</v>
      </c>
    </row>
    <row r="73" spans="6:8" x14ac:dyDescent="0.35">
      <c r="F73" s="46" t="s">
        <v>1811</v>
      </c>
      <c r="H73" s="46" t="s">
        <v>336</v>
      </c>
    </row>
    <row r="74" spans="6:8" x14ac:dyDescent="0.35">
      <c r="F74" s="48" t="s">
        <v>1812</v>
      </c>
      <c r="H74" s="48" t="s">
        <v>336</v>
      </c>
    </row>
    <row r="75" spans="6:8" x14ac:dyDescent="0.35">
      <c r="F75" s="46" t="s">
        <v>1813</v>
      </c>
      <c r="H75" s="46" t="s">
        <v>336</v>
      </c>
    </row>
    <row r="76" spans="6:8" x14ac:dyDescent="0.35">
      <c r="F76" s="46" t="s">
        <v>1814</v>
      </c>
      <c r="H76" s="48" t="s">
        <v>336</v>
      </c>
    </row>
    <row r="77" spans="6:8" x14ac:dyDescent="0.35">
      <c r="F77" s="46" t="s">
        <v>1815</v>
      </c>
      <c r="H77" s="48" t="s">
        <v>102</v>
      </c>
    </row>
    <row r="78" spans="6:8" x14ac:dyDescent="0.35">
      <c r="F78" s="46" t="s">
        <v>1816</v>
      </c>
      <c r="H78" s="46" t="s">
        <v>102</v>
      </c>
    </row>
    <row r="79" spans="6:8" x14ac:dyDescent="0.35">
      <c r="F79" s="46" t="s">
        <v>1817</v>
      </c>
      <c r="H79" s="46" t="s">
        <v>130</v>
      </c>
    </row>
    <row r="80" spans="6:8" x14ac:dyDescent="0.35">
      <c r="F80" s="48"/>
    </row>
  </sheetData>
  <phoneticPr fontId="3" type="noConversion"/>
  <conditionalFormatting sqref="F54">
    <cfRule type="top10" priority="26" rank="1"/>
  </conditionalFormatting>
  <conditionalFormatting sqref="F55">
    <cfRule type="top10" priority="27" rank="1"/>
  </conditionalFormatting>
  <conditionalFormatting sqref="F56">
    <cfRule type="top10" priority="25" rank="1"/>
  </conditionalFormatting>
  <conditionalFormatting sqref="F57">
    <cfRule type="top10" priority="24" rank="1"/>
  </conditionalFormatting>
  <conditionalFormatting sqref="F58">
    <cfRule type="top10" priority="23" rank="1"/>
  </conditionalFormatting>
  <conditionalFormatting sqref="F59">
    <cfRule type="top10" priority="22" rank="1"/>
  </conditionalFormatting>
  <conditionalFormatting sqref="F60">
    <cfRule type="top10" priority="21" rank="1"/>
  </conditionalFormatting>
  <conditionalFormatting sqref="F61">
    <cfRule type="top10" priority="20" rank="1"/>
  </conditionalFormatting>
  <conditionalFormatting sqref="F62">
    <cfRule type="top10" priority="19" rank="1"/>
  </conditionalFormatting>
  <conditionalFormatting sqref="F63">
    <cfRule type="top10" priority="18" rank="1"/>
  </conditionalFormatting>
  <conditionalFormatting sqref="F64">
    <cfRule type="top10" priority="17" rank="1"/>
  </conditionalFormatting>
  <conditionalFormatting sqref="F65">
    <cfRule type="top10" priority="16" rank="1"/>
  </conditionalFormatting>
  <conditionalFormatting sqref="F66">
    <cfRule type="top10" priority="15" rank="1"/>
  </conditionalFormatting>
  <conditionalFormatting sqref="F67">
    <cfRule type="top10" priority="14" rank="1"/>
  </conditionalFormatting>
  <conditionalFormatting sqref="F68">
    <cfRule type="top10" priority="13" rank="1"/>
  </conditionalFormatting>
  <conditionalFormatting sqref="F69">
    <cfRule type="top10" priority="12" rank="1"/>
  </conditionalFormatting>
  <conditionalFormatting sqref="F70">
    <cfRule type="top10" priority="11" rank="1"/>
  </conditionalFormatting>
  <conditionalFormatting sqref="F71">
    <cfRule type="top10" priority="10" rank="1"/>
  </conditionalFormatting>
  <conditionalFormatting sqref="F72">
    <cfRule type="top10" priority="9" rank="1"/>
  </conditionalFormatting>
  <conditionalFormatting sqref="F73">
    <cfRule type="top10" priority="8" rank="1"/>
  </conditionalFormatting>
  <conditionalFormatting sqref="F74">
    <cfRule type="top10" priority="7" rank="1"/>
  </conditionalFormatting>
  <conditionalFormatting sqref="F75">
    <cfRule type="top10" priority="6" rank="1"/>
  </conditionalFormatting>
  <conditionalFormatting sqref="F76">
    <cfRule type="top10" priority="5" rank="1"/>
  </conditionalFormatting>
  <conditionalFormatting sqref="F77">
    <cfRule type="top10" priority="4" rank="1"/>
  </conditionalFormatting>
  <conditionalFormatting sqref="F78">
    <cfRule type="top10" priority="3" rank="1"/>
  </conditionalFormatting>
  <conditionalFormatting sqref="F79">
    <cfRule type="top10" priority="2" rank="1"/>
  </conditionalFormatting>
  <conditionalFormatting sqref="F80">
    <cfRule type="top10" priority="1" rank="1"/>
  </conditionalFormatting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EF645-9F48-4AD1-B629-7F863507E60B}">
  <dimension ref="B2:E220"/>
  <sheetViews>
    <sheetView showGridLines="0" topLeftCell="A192" zoomScale="145" zoomScaleNormal="145" workbookViewId="0">
      <selection activeCell="C51" sqref="C51"/>
    </sheetView>
  </sheetViews>
  <sheetFormatPr defaultRowHeight="14.5" x14ac:dyDescent="0.35"/>
  <cols>
    <col min="1" max="1" width="7.54296875" customWidth="1"/>
    <col min="2" max="2" width="15.81640625" bestFit="1" customWidth="1"/>
    <col min="3" max="3" width="7.1796875" bestFit="1" customWidth="1"/>
    <col min="4" max="4" width="37.54296875" bestFit="1" customWidth="1"/>
    <col min="5" max="5" width="24.1796875" bestFit="1" customWidth="1"/>
  </cols>
  <sheetData>
    <row r="2" spans="2:5" x14ac:dyDescent="0.35">
      <c r="B2" t="s">
        <v>1818</v>
      </c>
      <c r="C2" t="s">
        <v>1652</v>
      </c>
      <c r="D2" t="s">
        <v>1819</v>
      </c>
      <c r="E2" t="s">
        <v>1820</v>
      </c>
    </row>
    <row r="3" spans="2:5" x14ac:dyDescent="0.35">
      <c r="B3" s="34">
        <v>3095800367</v>
      </c>
      <c r="C3" s="33" t="s">
        <v>1821</v>
      </c>
      <c r="D3" s="33" t="s">
        <v>1822</v>
      </c>
      <c r="E3" s="34"/>
    </row>
    <row r="4" spans="2:5" x14ac:dyDescent="0.35">
      <c r="B4" s="34">
        <v>3095800367</v>
      </c>
      <c r="C4" s="33" t="s">
        <v>1821</v>
      </c>
      <c r="D4" s="33" t="s">
        <v>1823</v>
      </c>
      <c r="E4" s="34"/>
    </row>
    <row r="5" spans="2:5" x14ac:dyDescent="0.35">
      <c r="B5" s="34">
        <v>3095654908</v>
      </c>
      <c r="C5" s="33" t="s">
        <v>1824</v>
      </c>
      <c r="D5" s="33" t="s">
        <v>1825</v>
      </c>
      <c r="E5" s="34"/>
    </row>
    <row r="6" spans="2:5" x14ac:dyDescent="0.35">
      <c r="B6" s="34">
        <v>3095800381</v>
      </c>
      <c r="C6" s="33" t="s">
        <v>1824</v>
      </c>
      <c r="D6" s="33" t="s">
        <v>1826</v>
      </c>
      <c r="E6" s="34"/>
    </row>
    <row r="7" spans="2:5" x14ac:dyDescent="0.35">
      <c r="B7" s="34">
        <v>3095178551</v>
      </c>
      <c r="C7" s="33" t="s">
        <v>1824</v>
      </c>
      <c r="D7" s="33" t="s">
        <v>1826</v>
      </c>
      <c r="E7" s="34"/>
    </row>
    <row r="8" spans="2:5" x14ac:dyDescent="0.35">
      <c r="B8" s="34">
        <v>3093323985</v>
      </c>
      <c r="C8" s="33" t="s">
        <v>1824</v>
      </c>
      <c r="D8" s="33" t="s">
        <v>1827</v>
      </c>
      <c r="E8" s="34"/>
    </row>
    <row r="9" spans="2:5" x14ac:dyDescent="0.35">
      <c r="B9" s="34">
        <v>3092470748</v>
      </c>
      <c r="C9" s="33" t="s">
        <v>1824</v>
      </c>
      <c r="D9" s="33" t="s">
        <v>1828</v>
      </c>
      <c r="E9" s="34"/>
    </row>
    <row r="10" spans="2:5" x14ac:dyDescent="0.35">
      <c r="B10" s="34">
        <v>3095628386</v>
      </c>
      <c r="C10" s="33" t="s">
        <v>1829</v>
      </c>
      <c r="D10" s="33" t="s">
        <v>1830</v>
      </c>
      <c r="E10" s="34"/>
    </row>
    <row r="11" spans="2:5" x14ac:dyDescent="0.35">
      <c r="B11" s="34">
        <v>3095277443</v>
      </c>
      <c r="C11" s="33" t="s">
        <v>1829</v>
      </c>
      <c r="D11" s="33" t="s">
        <v>1831</v>
      </c>
      <c r="E11" s="34"/>
    </row>
    <row r="12" spans="2:5" x14ac:dyDescent="0.35">
      <c r="B12" s="34">
        <v>4002845642</v>
      </c>
      <c r="C12" s="33" t="s">
        <v>1829</v>
      </c>
      <c r="D12" s="33" t="s">
        <v>1832</v>
      </c>
      <c r="E12" s="34"/>
    </row>
    <row r="13" spans="2:5" x14ac:dyDescent="0.35">
      <c r="B13" s="34">
        <v>3095296676</v>
      </c>
      <c r="C13" s="33" t="s">
        <v>1829</v>
      </c>
      <c r="D13" s="33" t="s">
        <v>1833</v>
      </c>
      <c r="E13" s="34"/>
    </row>
    <row r="14" spans="2:5" x14ac:dyDescent="0.35">
      <c r="B14" s="34">
        <v>3095215855</v>
      </c>
      <c r="C14" s="33" t="s">
        <v>1834</v>
      </c>
      <c r="D14" s="33" t="s">
        <v>1835</v>
      </c>
      <c r="E14" s="34"/>
    </row>
    <row r="15" spans="2:5" x14ac:dyDescent="0.35">
      <c r="B15" s="34">
        <v>3095800380</v>
      </c>
      <c r="C15" s="33" t="s">
        <v>1834</v>
      </c>
      <c r="D15" s="33" t="s">
        <v>1836</v>
      </c>
      <c r="E15" s="34"/>
    </row>
    <row r="16" spans="2:5" x14ac:dyDescent="0.35">
      <c r="B16" s="34">
        <v>3092751570</v>
      </c>
      <c r="C16" s="33" t="s">
        <v>1834</v>
      </c>
      <c r="D16" s="33" t="s">
        <v>1835</v>
      </c>
      <c r="E16" s="34"/>
    </row>
    <row r="17" spans="2:5" x14ac:dyDescent="0.35">
      <c r="B17" s="34">
        <v>3095264259</v>
      </c>
      <c r="C17" s="33" t="s">
        <v>1834</v>
      </c>
      <c r="D17" s="33" t="s">
        <v>1836</v>
      </c>
      <c r="E17" s="34"/>
    </row>
    <row r="18" spans="2:5" x14ac:dyDescent="0.35">
      <c r="B18" s="34">
        <v>3095397918</v>
      </c>
      <c r="C18" s="33" t="s">
        <v>1829</v>
      </c>
      <c r="D18" s="33" t="s">
        <v>1833</v>
      </c>
      <c r="E18" s="34"/>
    </row>
    <row r="19" spans="2:5" x14ac:dyDescent="0.35">
      <c r="B19" s="34">
        <v>24698687</v>
      </c>
      <c r="C19" s="33" t="s">
        <v>1834</v>
      </c>
      <c r="D19" s="33" t="s">
        <v>1837</v>
      </c>
      <c r="E19" s="34"/>
    </row>
    <row r="20" spans="2:5" x14ac:dyDescent="0.35">
      <c r="B20" s="34">
        <v>30499089</v>
      </c>
      <c r="C20" s="33" t="s">
        <v>1834</v>
      </c>
      <c r="D20" s="33" t="s">
        <v>1838</v>
      </c>
      <c r="E20" s="34"/>
    </row>
    <row r="21" spans="2:5" x14ac:dyDescent="0.35">
      <c r="B21" s="34">
        <v>47238259</v>
      </c>
      <c r="C21" s="33" t="s">
        <v>1829</v>
      </c>
      <c r="D21" s="33" t="s">
        <v>1833</v>
      </c>
      <c r="E21" s="34"/>
    </row>
    <row r="22" spans="2:5" x14ac:dyDescent="0.35">
      <c r="B22" s="34">
        <v>24685364</v>
      </c>
      <c r="C22" s="33" t="s">
        <v>1834</v>
      </c>
      <c r="D22" s="33" t="s">
        <v>1839</v>
      </c>
      <c r="E22" s="34"/>
    </row>
    <row r="23" spans="2:5" x14ac:dyDescent="0.35">
      <c r="B23" s="34">
        <v>1006225827</v>
      </c>
      <c r="C23" s="33" t="s">
        <v>1834</v>
      </c>
      <c r="D23" s="33" t="s">
        <v>1836</v>
      </c>
      <c r="E23" s="34"/>
    </row>
    <row r="24" spans="2:5" x14ac:dyDescent="0.35">
      <c r="B24" s="34">
        <v>36593265</v>
      </c>
      <c r="C24" s="33" t="s">
        <v>1834</v>
      </c>
      <c r="D24" s="33" t="s">
        <v>1840</v>
      </c>
      <c r="E24" s="34"/>
    </row>
    <row r="25" spans="2:5" x14ac:dyDescent="0.35">
      <c r="B25" s="34">
        <v>25408097</v>
      </c>
      <c r="C25" s="33" t="s">
        <v>1834</v>
      </c>
      <c r="D25" s="33" t="s">
        <v>1841</v>
      </c>
      <c r="E25" s="34"/>
    </row>
    <row r="26" spans="2:5" x14ac:dyDescent="0.35">
      <c r="B26" s="34">
        <v>3092473747</v>
      </c>
      <c r="C26" s="33" t="s">
        <v>1834</v>
      </c>
      <c r="D26" s="33" t="s">
        <v>1842</v>
      </c>
      <c r="E26" s="34"/>
    </row>
    <row r="27" spans="2:5" x14ac:dyDescent="0.35">
      <c r="B27" s="34">
        <v>3092470746</v>
      </c>
      <c r="C27" s="33" t="s">
        <v>1843</v>
      </c>
      <c r="D27" s="33" t="s">
        <v>1844</v>
      </c>
      <c r="E27" s="34"/>
    </row>
    <row r="28" spans="2:5" x14ac:dyDescent="0.35">
      <c r="B28" s="34">
        <v>3092470755</v>
      </c>
      <c r="C28" s="33" t="s">
        <v>1834</v>
      </c>
      <c r="D28" s="33" t="s">
        <v>1836</v>
      </c>
      <c r="E28" s="34"/>
    </row>
    <row r="29" spans="2:5" x14ac:dyDescent="0.35">
      <c r="B29" s="34">
        <v>3095058700</v>
      </c>
      <c r="C29" s="33" t="s">
        <v>1829</v>
      </c>
      <c r="D29" s="33" t="s">
        <v>1830</v>
      </c>
      <c r="E29" s="34"/>
    </row>
    <row r="30" spans="2:5" x14ac:dyDescent="0.35">
      <c r="B30" s="34">
        <v>3095058717</v>
      </c>
      <c r="C30" s="33" t="s">
        <v>1829</v>
      </c>
      <c r="D30" s="33" t="s">
        <v>1833</v>
      </c>
      <c r="E30" s="34"/>
    </row>
    <row r="31" spans="2:5" x14ac:dyDescent="0.35">
      <c r="B31" s="34">
        <v>3095026668</v>
      </c>
      <c r="C31" s="33" t="s">
        <v>1834</v>
      </c>
      <c r="D31" s="33" t="s">
        <v>1836</v>
      </c>
      <c r="E31" s="34"/>
    </row>
    <row r="32" spans="2:5" x14ac:dyDescent="0.35">
      <c r="B32" s="34">
        <v>3095800375</v>
      </c>
      <c r="C32" s="33" t="s">
        <v>1821</v>
      </c>
      <c r="D32" s="33" t="s">
        <v>1845</v>
      </c>
      <c r="E32" s="34"/>
    </row>
    <row r="33" spans="2:5" x14ac:dyDescent="0.35">
      <c r="B33" s="34">
        <v>3095800368</v>
      </c>
      <c r="C33" s="33" t="s">
        <v>1821</v>
      </c>
      <c r="D33" s="33" t="s">
        <v>1846</v>
      </c>
      <c r="E33" s="34"/>
    </row>
    <row r="34" spans="2:5" x14ac:dyDescent="0.35">
      <c r="B34" s="34">
        <v>3095800369</v>
      </c>
      <c r="C34" s="33" t="s">
        <v>1821</v>
      </c>
      <c r="D34" s="33" t="s">
        <v>1847</v>
      </c>
      <c r="E34" s="34"/>
    </row>
    <row r="35" spans="2:5" x14ac:dyDescent="0.35">
      <c r="B35" s="34">
        <v>3095786145</v>
      </c>
      <c r="C35" s="33" t="s">
        <v>1821</v>
      </c>
      <c r="D35" s="33" t="s">
        <v>1848</v>
      </c>
      <c r="E35" s="34"/>
    </row>
    <row r="36" spans="2:5" x14ac:dyDescent="0.35">
      <c r="B36" s="34">
        <v>3095654903</v>
      </c>
      <c r="C36" s="33" t="s">
        <v>1821</v>
      </c>
      <c r="D36" s="33" t="s">
        <v>1849</v>
      </c>
      <c r="E36" s="34"/>
    </row>
    <row r="37" spans="2:5" x14ac:dyDescent="0.35">
      <c r="B37" s="34">
        <v>3092464869</v>
      </c>
      <c r="C37" s="33" t="s">
        <v>1821</v>
      </c>
      <c r="D37" s="33" t="s">
        <v>1850</v>
      </c>
      <c r="E37" s="34"/>
    </row>
    <row r="38" spans="2:5" x14ac:dyDescent="0.35">
      <c r="B38" s="34">
        <v>3092553536</v>
      </c>
      <c r="C38" s="33" t="s">
        <v>1821</v>
      </c>
      <c r="D38" s="33" t="s">
        <v>1851</v>
      </c>
      <c r="E38" s="34"/>
    </row>
    <row r="39" spans="2:5" x14ac:dyDescent="0.35">
      <c r="B39" s="34">
        <v>3092682050</v>
      </c>
      <c r="C39" s="33" t="s">
        <v>1821</v>
      </c>
      <c r="D39" s="33" t="s">
        <v>1852</v>
      </c>
      <c r="E39" s="34"/>
    </row>
    <row r="40" spans="2:5" x14ac:dyDescent="0.35">
      <c r="B40" s="34">
        <v>3095800370</v>
      </c>
      <c r="C40" s="33" t="s">
        <v>1821</v>
      </c>
      <c r="D40" s="33" t="s">
        <v>1853</v>
      </c>
      <c r="E40" s="34"/>
    </row>
    <row r="41" spans="2:5" x14ac:dyDescent="0.35">
      <c r="B41" s="34">
        <v>3095549037</v>
      </c>
      <c r="C41" s="33" t="s">
        <v>1821</v>
      </c>
      <c r="D41" s="33" t="s">
        <v>1854</v>
      </c>
      <c r="E41" s="34"/>
    </row>
    <row r="42" spans="2:5" x14ac:dyDescent="0.35">
      <c r="B42" s="34">
        <v>3091509806</v>
      </c>
      <c r="C42" s="33" t="s">
        <v>1821</v>
      </c>
      <c r="D42" s="33" t="s">
        <v>1855</v>
      </c>
      <c r="E42" s="34"/>
    </row>
    <row r="43" spans="2:5" x14ac:dyDescent="0.35">
      <c r="B43" s="34">
        <v>4003354602</v>
      </c>
      <c r="C43" s="33" t="s">
        <v>1856</v>
      </c>
      <c r="D43" s="33" t="s">
        <v>1857</v>
      </c>
      <c r="E43" s="34"/>
    </row>
    <row r="44" spans="2:5" x14ac:dyDescent="0.35">
      <c r="B44" s="34">
        <v>3092469113</v>
      </c>
      <c r="C44" s="33" t="s">
        <v>1821</v>
      </c>
      <c r="D44" s="33" t="s">
        <v>1858</v>
      </c>
      <c r="E44" s="34"/>
    </row>
    <row r="45" spans="2:5" x14ac:dyDescent="0.35">
      <c r="B45" s="34">
        <v>3095358548</v>
      </c>
      <c r="C45" s="33" t="s">
        <v>1821</v>
      </c>
      <c r="D45" s="33" t="s">
        <v>1859</v>
      </c>
      <c r="E45" s="34"/>
    </row>
    <row r="46" spans="2:5" x14ac:dyDescent="0.35">
      <c r="B46" s="34">
        <v>4002683219</v>
      </c>
      <c r="C46" s="33" t="s">
        <v>1821</v>
      </c>
      <c r="D46" s="33" t="s">
        <v>1860</v>
      </c>
      <c r="E46" s="34"/>
    </row>
    <row r="47" spans="2:5" x14ac:dyDescent="0.35">
      <c r="B47" s="34">
        <v>3095713395</v>
      </c>
      <c r="C47" s="33" t="s">
        <v>1821</v>
      </c>
      <c r="D47" s="33" t="s">
        <v>1861</v>
      </c>
      <c r="E47" s="34"/>
    </row>
    <row r="48" spans="2:5" x14ac:dyDescent="0.35">
      <c r="B48" s="34">
        <v>4003354504</v>
      </c>
      <c r="C48" s="33" t="s">
        <v>1821</v>
      </c>
      <c r="D48" s="33" t="s">
        <v>1862</v>
      </c>
      <c r="E48" s="34"/>
    </row>
    <row r="49" spans="2:5" x14ac:dyDescent="0.35">
      <c r="B49" s="34">
        <v>4003354523</v>
      </c>
      <c r="C49" s="33" t="s">
        <v>1821</v>
      </c>
      <c r="D49" s="33" t="s">
        <v>1863</v>
      </c>
      <c r="E49" s="34"/>
    </row>
    <row r="50" spans="2:5" x14ac:dyDescent="0.35">
      <c r="B50" s="34">
        <v>3092463662</v>
      </c>
      <c r="C50" s="33" t="s">
        <v>1821</v>
      </c>
      <c r="D50" s="33" t="s">
        <v>1864</v>
      </c>
      <c r="E50" s="34"/>
    </row>
    <row r="51" spans="2:5" x14ac:dyDescent="0.35">
      <c r="B51" s="34">
        <v>3092582813</v>
      </c>
      <c r="C51" s="33" t="s">
        <v>1821</v>
      </c>
      <c r="D51" s="33" t="s">
        <v>1865</v>
      </c>
      <c r="E51" s="34"/>
    </row>
    <row r="52" spans="2:5" x14ac:dyDescent="0.35">
      <c r="B52" s="34">
        <v>3093072385</v>
      </c>
      <c r="C52" s="33" t="s">
        <v>1821</v>
      </c>
      <c r="D52" s="33" t="s">
        <v>1866</v>
      </c>
      <c r="E52" s="34"/>
    </row>
    <row r="53" spans="2:5" x14ac:dyDescent="0.35">
      <c r="B53" s="34">
        <v>4002651644</v>
      </c>
      <c r="C53" s="33" t="s">
        <v>1821</v>
      </c>
      <c r="D53" s="33" t="s">
        <v>1867</v>
      </c>
      <c r="E53" s="34"/>
    </row>
    <row r="54" spans="2:5" x14ac:dyDescent="0.35">
      <c r="B54" s="34">
        <v>3092461725</v>
      </c>
      <c r="C54" s="33" t="s">
        <v>1821</v>
      </c>
      <c r="D54" s="33" t="s">
        <v>1868</v>
      </c>
      <c r="E54" s="34"/>
    </row>
    <row r="55" spans="2:5" x14ac:dyDescent="0.35">
      <c r="B55" s="34">
        <v>3092461725</v>
      </c>
      <c r="C55" s="33" t="s">
        <v>1821</v>
      </c>
      <c r="D55" s="33" t="s">
        <v>1869</v>
      </c>
      <c r="E55" s="34"/>
    </row>
    <row r="56" spans="2:5" x14ac:dyDescent="0.35">
      <c r="B56" s="34">
        <v>3095339059</v>
      </c>
      <c r="C56" s="33" t="s">
        <v>1821</v>
      </c>
      <c r="D56" s="33" t="s">
        <v>1870</v>
      </c>
      <c r="E56" s="34"/>
    </row>
    <row r="57" spans="2:5" x14ac:dyDescent="0.35">
      <c r="B57" s="34">
        <v>3095032698</v>
      </c>
      <c r="C57" s="33" t="s">
        <v>1821</v>
      </c>
      <c r="D57" s="33" t="s">
        <v>1871</v>
      </c>
      <c r="E57" s="34"/>
    </row>
    <row r="58" spans="2:5" x14ac:dyDescent="0.35">
      <c r="B58" s="34">
        <v>3095077756</v>
      </c>
      <c r="C58" s="33" t="s">
        <v>1821</v>
      </c>
      <c r="D58" s="33" t="s">
        <v>1872</v>
      </c>
      <c r="E58" s="34"/>
    </row>
    <row r="59" spans="2:5" x14ac:dyDescent="0.35">
      <c r="B59" s="34">
        <v>3093027262</v>
      </c>
      <c r="C59" s="33" t="s">
        <v>1821</v>
      </c>
      <c r="D59" s="33" t="s">
        <v>1873</v>
      </c>
      <c r="E59" s="34"/>
    </row>
    <row r="60" spans="2:5" x14ac:dyDescent="0.35">
      <c r="B60" s="34">
        <v>11482</v>
      </c>
      <c r="C60" s="33" t="s">
        <v>1821</v>
      </c>
      <c r="D60" s="33" t="s">
        <v>1874</v>
      </c>
      <c r="E60" s="34"/>
    </row>
    <row r="61" spans="2:5" x14ac:dyDescent="0.35">
      <c r="B61" s="34">
        <v>11555</v>
      </c>
      <c r="C61" s="33" t="s">
        <v>1821</v>
      </c>
      <c r="D61" s="33" t="s">
        <v>1875</v>
      </c>
      <c r="E61" s="34"/>
    </row>
    <row r="62" spans="2:5" x14ac:dyDescent="0.35">
      <c r="B62" s="34">
        <v>11008</v>
      </c>
      <c r="C62" s="33" t="s">
        <v>1821</v>
      </c>
      <c r="D62" s="33" t="s">
        <v>1876</v>
      </c>
      <c r="E62" s="34"/>
    </row>
    <row r="63" spans="2:5" x14ac:dyDescent="0.35">
      <c r="B63" s="34">
        <v>12810</v>
      </c>
      <c r="C63" s="33" t="s">
        <v>1821</v>
      </c>
      <c r="D63" s="33" t="s">
        <v>1877</v>
      </c>
      <c r="E63" s="34"/>
    </row>
    <row r="64" spans="2:5" x14ac:dyDescent="0.35">
      <c r="B64" s="34">
        <v>3095770715</v>
      </c>
      <c r="C64" s="33" t="s">
        <v>1821</v>
      </c>
      <c r="D64" s="33" t="s">
        <v>1878</v>
      </c>
      <c r="E64" s="34"/>
    </row>
    <row r="65" spans="2:5" x14ac:dyDescent="0.35">
      <c r="B65" s="34">
        <v>3092569032</v>
      </c>
      <c r="C65" s="33" t="s">
        <v>1821</v>
      </c>
      <c r="D65" s="33" t="s">
        <v>1879</v>
      </c>
      <c r="E65" s="34"/>
    </row>
    <row r="66" spans="2:5" x14ac:dyDescent="0.35">
      <c r="B66" s="34">
        <v>3092460715</v>
      </c>
      <c r="C66" s="33" t="s">
        <v>1821</v>
      </c>
      <c r="D66" s="33" t="s">
        <v>1880</v>
      </c>
      <c r="E66" s="34"/>
    </row>
    <row r="67" spans="2:5" x14ac:dyDescent="0.35">
      <c r="B67" s="34">
        <v>3092460725</v>
      </c>
      <c r="C67" s="33" t="s">
        <v>1821</v>
      </c>
      <c r="D67" s="33" t="s">
        <v>1881</v>
      </c>
      <c r="E67" s="34"/>
    </row>
    <row r="68" spans="2:5" x14ac:dyDescent="0.35">
      <c r="B68" s="34">
        <v>46517707</v>
      </c>
      <c r="C68" s="33" t="s">
        <v>1821</v>
      </c>
      <c r="D68" s="33" t="s">
        <v>1882</v>
      </c>
      <c r="E68" s="34"/>
    </row>
    <row r="69" spans="2:5" x14ac:dyDescent="0.35">
      <c r="B69" s="34">
        <v>3095650274</v>
      </c>
      <c r="C69" s="33" t="s">
        <v>1821</v>
      </c>
      <c r="D69" s="33" t="s">
        <v>1883</v>
      </c>
      <c r="E69" s="34"/>
    </row>
    <row r="70" spans="2:5" x14ac:dyDescent="0.35">
      <c r="B70" s="34">
        <v>3095800364</v>
      </c>
      <c r="C70" s="33" t="s">
        <v>1821</v>
      </c>
      <c r="D70" s="33" t="s">
        <v>1884</v>
      </c>
      <c r="E70" s="34"/>
    </row>
    <row r="71" spans="2:5" x14ac:dyDescent="0.35">
      <c r="B71" s="34">
        <v>3095800366</v>
      </c>
      <c r="C71" s="33" t="s">
        <v>1821</v>
      </c>
      <c r="D71" s="33" t="s">
        <v>1885</v>
      </c>
      <c r="E71" s="34"/>
    </row>
    <row r="72" spans="2:5" x14ac:dyDescent="0.35">
      <c r="B72" s="34">
        <v>3092946091</v>
      </c>
      <c r="C72" s="33" t="s">
        <v>1821</v>
      </c>
      <c r="D72" s="33" t="s">
        <v>1886</v>
      </c>
      <c r="E72" s="34"/>
    </row>
    <row r="73" spans="2:5" x14ac:dyDescent="0.35">
      <c r="B73" s="34">
        <v>3093293872</v>
      </c>
      <c r="C73" s="33" t="s">
        <v>1821</v>
      </c>
      <c r="D73" s="33" t="s">
        <v>1887</v>
      </c>
      <c r="E73" s="34"/>
    </row>
    <row r="74" spans="2:5" x14ac:dyDescent="0.35">
      <c r="B74" s="34" t="s">
        <v>1888</v>
      </c>
      <c r="C74" s="33" t="s">
        <v>1821</v>
      </c>
      <c r="D74" s="33" t="s">
        <v>1889</v>
      </c>
      <c r="E74" s="34"/>
    </row>
    <row r="75" spans="2:5" x14ac:dyDescent="0.35">
      <c r="B75" s="34">
        <v>4003603236</v>
      </c>
      <c r="C75" s="33" t="s">
        <v>1821</v>
      </c>
      <c r="D75" s="33" t="s">
        <v>1890</v>
      </c>
      <c r="E75" s="34"/>
    </row>
    <row r="76" spans="2:5" x14ac:dyDescent="0.35">
      <c r="B76" s="34">
        <v>3095683771</v>
      </c>
      <c r="C76" s="33" t="s">
        <v>1821</v>
      </c>
      <c r="D76" s="33" t="s">
        <v>1891</v>
      </c>
      <c r="E76" s="34"/>
    </row>
    <row r="77" spans="2:5" x14ac:dyDescent="0.35">
      <c r="B77" s="34">
        <v>3093199793</v>
      </c>
      <c r="C77" s="33" t="s">
        <v>1821</v>
      </c>
      <c r="D77" s="33" t="s">
        <v>1892</v>
      </c>
      <c r="E77" s="34"/>
    </row>
    <row r="78" spans="2:5" x14ac:dyDescent="0.35">
      <c r="B78" s="34">
        <v>3092460488</v>
      </c>
      <c r="C78" s="33" t="s">
        <v>1821</v>
      </c>
      <c r="D78" s="33" t="s">
        <v>1893</v>
      </c>
      <c r="E78" s="34"/>
    </row>
    <row r="79" spans="2:5" x14ac:dyDescent="0.35">
      <c r="B79" s="34">
        <v>3095800378</v>
      </c>
      <c r="C79" s="33" t="s">
        <v>1821</v>
      </c>
      <c r="D79" s="33" t="s">
        <v>1894</v>
      </c>
      <c r="E79" s="34"/>
    </row>
    <row r="80" spans="2:5" x14ac:dyDescent="0.35">
      <c r="B80" s="34" t="s">
        <v>1895</v>
      </c>
      <c r="C80" s="33" t="s">
        <v>1821</v>
      </c>
      <c r="D80" s="33" t="s">
        <v>1896</v>
      </c>
      <c r="E80" s="34"/>
    </row>
    <row r="81" spans="2:5" x14ac:dyDescent="0.35">
      <c r="B81" s="34" t="s">
        <v>1654</v>
      </c>
      <c r="C81" s="33" t="s">
        <v>1648</v>
      </c>
      <c r="D81" s="33" t="s">
        <v>1897</v>
      </c>
      <c r="E81" s="34"/>
    </row>
    <row r="82" spans="2:5" x14ac:dyDescent="0.35">
      <c r="B82" s="34" t="s">
        <v>1898</v>
      </c>
      <c r="C82" s="33" t="s">
        <v>1821</v>
      </c>
      <c r="D82" s="33" t="s">
        <v>1899</v>
      </c>
      <c r="E82" s="34"/>
    </row>
    <row r="83" spans="2:5" x14ac:dyDescent="0.35">
      <c r="B83" s="34">
        <v>3095800373</v>
      </c>
      <c r="C83" s="33" t="s">
        <v>1821</v>
      </c>
      <c r="D83" s="33" t="s">
        <v>1900</v>
      </c>
      <c r="E83" s="34"/>
    </row>
    <row r="84" spans="2:5" x14ac:dyDescent="0.35">
      <c r="B84" s="34">
        <v>3095800373</v>
      </c>
      <c r="C84" s="33" t="s">
        <v>1821</v>
      </c>
      <c r="D84" s="33" t="s">
        <v>1901</v>
      </c>
      <c r="E84" s="34"/>
    </row>
    <row r="85" spans="2:5" x14ac:dyDescent="0.35">
      <c r="B85" s="34">
        <v>4003418684</v>
      </c>
      <c r="C85" s="33" t="s">
        <v>1829</v>
      </c>
      <c r="D85" s="33" t="s">
        <v>1833</v>
      </c>
      <c r="E85" s="34"/>
    </row>
    <row r="86" spans="2:5" x14ac:dyDescent="0.35">
      <c r="B86" s="34">
        <v>4002855948</v>
      </c>
      <c r="C86" s="33" t="s">
        <v>1829</v>
      </c>
      <c r="D86" s="33" t="s">
        <v>1902</v>
      </c>
      <c r="E86" s="34"/>
    </row>
    <row r="87" spans="2:5" x14ac:dyDescent="0.35">
      <c r="B87" s="34">
        <v>3095641510</v>
      </c>
      <c r="C87" s="33" t="s">
        <v>1648</v>
      </c>
      <c r="D87" s="33" t="s">
        <v>1903</v>
      </c>
      <c r="E87" s="34"/>
    </row>
    <row r="88" spans="2:5" x14ac:dyDescent="0.35">
      <c r="B88" s="34">
        <v>3095641510</v>
      </c>
      <c r="C88" s="33" t="s">
        <v>1648</v>
      </c>
      <c r="D88" s="33" t="s">
        <v>1836</v>
      </c>
      <c r="E88" s="34"/>
    </row>
    <row r="89" spans="2:5" x14ac:dyDescent="0.35">
      <c r="B89" s="34">
        <v>3095641510</v>
      </c>
      <c r="C89" s="33" t="s">
        <v>1648</v>
      </c>
      <c r="D89" s="33" t="s">
        <v>1897</v>
      </c>
      <c r="E89" s="34"/>
    </row>
    <row r="90" spans="2:5" x14ac:dyDescent="0.35">
      <c r="B90" s="34">
        <v>3095641510</v>
      </c>
      <c r="C90" s="33" t="s">
        <v>1648</v>
      </c>
      <c r="D90" s="33" t="s">
        <v>1904</v>
      </c>
      <c r="E90" s="34"/>
    </row>
    <row r="91" spans="2:5" x14ac:dyDescent="0.35">
      <c r="B91" s="34">
        <v>3095489580</v>
      </c>
      <c r="C91" s="33" t="s">
        <v>1843</v>
      </c>
      <c r="D91" s="33" t="s">
        <v>1905</v>
      </c>
      <c r="E91" s="34"/>
    </row>
    <row r="92" spans="2:5" x14ac:dyDescent="0.35">
      <c r="B92" s="34">
        <v>3093272625</v>
      </c>
      <c r="C92" s="33" t="s">
        <v>1906</v>
      </c>
      <c r="D92" s="33" t="s">
        <v>1907</v>
      </c>
      <c r="E92" s="34"/>
    </row>
    <row r="93" spans="2:5" x14ac:dyDescent="0.35">
      <c r="B93" s="34">
        <v>4003439310</v>
      </c>
      <c r="C93" s="33" t="s">
        <v>1843</v>
      </c>
      <c r="D93" s="33" t="s">
        <v>1908</v>
      </c>
      <c r="E93" s="34"/>
    </row>
    <row r="94" spans="2:5" x14ac:dyDescent="0.35">
      <c r="B94" s="34">
        <v>4003354489</v>
      </c>
      <c r="C94" s="33" t="s">
        <v>1843</v>
      </c>
      <c r="D94" s="33" t="s">
        <v>1909</v>
      </c>
      <c r="E94" s="34"/>
    </row>
    <row r="95" spans="2:5" x14ac:dyDescent="0.35">
      <c r="B95" s="34">
        <v>4003354539</v>
      </c>
      <c r="C95" s="33" t="s">
        <v>1843</v>
      </c>
      <c r="D95" s="33" t="s">
        <v>1910</v>
      </c>
      <c r="E95" s="34"/>
    </row>
    <row r="96" spans="2:5" x14ac:dyDescent="0.35">
      <c r="B96" s="34">
        <v>4003354551</v>
      </c>
      <c r="C96" s="33" t="s">
        <v>1843</v>
      </c>
      <c r="D96" s="33" t="s">
        <v>1911</v>
      </c>
      <c r="E96" s="34"/>
    </row>
    <row r="97" spans="2:5" x14ac:dyDescent="0.35">
      <c r="B97" s="34">
        <v>4003354568</v>
      </c>
      <c r="C97" s="33" t="s">
        <v>1843</v>
      </c>
      <c r="D97" s="33" t="s">
        <v>1912</v>
      </c>
      <c r="E97" s="34"/>
    </row>
    <row r="98" spans="2:5" x14ac:dyDescent="0.35">
      <c r="B98" s="34">
        <v>4003354580</v>
      </c>
      <c r="C98" s="33" t="s">
        <v>1843</v>
      </c>
      <c r="D98" s="33" t="s">
        <v>1913</v>
      </c>
      <c r="E98" s="34"/>
    </row>
    <row r="99" spans="2:5" x14ac:dyDescent="0.35">
      <c r="B99" s="34">
        <v>4003354593</v>
      </c>
      <c r="C99" s="33" t="s">
        <v>1843</v>
      </c>
      <c r="D99" s="33" t="s">
        <v>1914</v>
      </c>
      <c r="E99" s="34"/>
    </row>
    <row r="100" spans="2:5" x14ac:dyDescent="0.35">
      <c r="B100" s="34">
        <v>4003354610</v>
      </c>
      <c r="C100" s="33" t="s">
        <v>1843</v>
      </c>
      <c r="D100" s="33" t="s">
        <v>1915</v>
      </c>
      <c r="E100" s="34"/>
    </row>
    <row r="101" spans="2:5" x14ac:dyDescent="0.35">
      <c r="B101" s="34">
        <v>4003354631</v>
      </c>
      <c r="C101" s="33" t="s">
        <v>1843</v>
      </c>
      <c r="D101" s="33" t="s">
        <v>1916</v>
      </c>
      <c r="E101" s="34"/>
    </row>
    <row r="102" spans="2:5" x14ac:dyDescent="0.35">
      <c r="B102" s="34">
        <v>3095489597</v>
      </c>
      <c r="C102" s="33" t="s">
        <v>1843</v>
      </c>
      <c r="D102" s="33" t="s">
        <v>1917</v>
      </c>
      <c r="E102" s="34"/>
    </row>
    <row r="103" spans="2:5" x14ac:dyDescent="0.35">
      <c r="B103" s="34">
        <v>3095498820</v>
      </c>
      <c r="C103" s="33" t="s">
        <v>1843</v>
      </c>
      <c r="D103" s="33" t="s">
        <v>1918</v>
      </c>
      <c r="E103" s="34"/>
    </row>
    <row r="104" spans="2:5" x14ac:dyDescent="0.35">
      <c r="B104" s="34">
        <v>3095512388</v>
      </c>
      <c r="C104" s="33" t="s">
        <v>1843</v>
      </c>
      <c r="D104" s="33" t="s">
        <v>1919</v>
      </c>
      <c r="E104" s="34"/>
    </row>
    <row r="105" spans="2:5" x14ac:dyDescent="0.35">
      <c r="B105" s="34">
        <v>3095489578</v>
      </c>
      <c r="C105" s="33" t="s">
        <v>1843</v>
      </c>
      <c r="D105" s="33" t="s">
        <v>1920</v>
      </c>
      <c r="E105" s="34"/>
    </row>
    <row r="106" spans="2:5" x14ac:dyDescent="0.35">
      <c r="B106" s="34">
        <v>3095489566</v>
      </c>
      <c r="C106" s="33" t="s">
        <v>1843</v>
      </c>
      <c r="D106" s="33" t="s">
        <v>1844</v>
      </c>
      <c r="E106" s="34"/>
    </row>
    <row r="107" spans="2:5" x14ac:dyDescent="0.35">
      <c r="B107" s="34">
        <v>3095489567</v>
      </c>
      <c r="C107" s="33" t="s">
        <v>1843</v>
      </c>
      <c r="D107" s="33" t="s">
        <v>1921</v>
      </c>
      <c r="E107" s="34"/>
    </row>
    <row r="108" spans="2:5" x14ac:dyDescent="0.35">
      <c r="B108" s="34">
        <v>3095489569</v>
      </c>
      <c r="C108" s="33" t="s">
        <v>1843</v>
      </c>
      <c r="D108" s="33" t="s">
        <v>1922</v>
      </c>
      <c r="E108" s="34"/>
    </row>
    <row r="109" spans="2:5" x14ac:dyDescent="0.35">
      <c r="B109" s="34">
        <v>3095489575</v>
      </c>
      <c r="C109" s="33" t="s">
        <v>1843</v>
      </c>
      <c r="D109" s="33" t="s">
        <v>1923</v>
      </c>
      <c r="E109" s="34"/>
    </row>
    <row r="110" spans="2:5" x14ac:dyDescent="0.35">
      <c r="B110" s="34">
        <v>3095489585</v>
      </c>
      <c r="C110" s="33" t="s">
        <v>1843</v>
      </c>
      <c r="D110" s="33" t="s">
        <v>1924</v>
      </c>
      <c r="E110" s="34"/>
    </row>
    <row r="111" spans="2:5" x14ac:dyDescent="0.35">
      <c r="B111" s="34">
        <v>3095489595</v>
      </c>
      <c r="C111" s="33" t="s">
        <v>1843</v>
      </c>
      <c r="D111" s="33" t="s">
        <v>1925</v>
      </c>
      <c r="E111" s="34"/>
    </row>
    <row r="112" spans="2:5" x14ac:dyDescent="0.35">
      <c r="B112" s="34">
        <v>3095498828</v>
      </c>
      <c r="C112" s="33" t="s">
        <v>1843</v>
      </c>
      <c r="D112" s="33" t="s">
        <v>1926</v>
      </c>
      <c r="E112" s="34"/>
    </row>
    <row r="113" spans="2:5" x14ac:dyDescent="0.35">
      <c r="B113" s="34">
        <v>3095489590</v>
      </c>
      <c r="C113" s="33" t="s">
        <v>1843</v>
      </c>
      <c r="D113" s="33" t="s">
        <v>1927</v>
      </c>
      <c r="E113" s="34"/>
    </row>
    <row r="114" spans="2:5" x14ac:dyDescent="0.35">
      <c r="B114" s="34">
        <v>3095489591</v>
      </c>
      <c r="C114" s="33" t="s">
        <v>1843</v>
      </c>
      <c r="D114" s="33" t="s">
        <v>1928</v>
      </c>
      <c r="E114" s="34"/>
    </row>
    <row r="115" spans="2:5" x14ac:dyDescent="0.35">
      <c r="B115" s="34">
        <v>3095489594</v>
      </c>
      <c r="C115" s="33" t="s">
        <v>1843</v>
      </c>
      <c r="D115" s="33" t="s">
        <v>1929</v>
      </c>
      <c r="E115" s="34"/>
    </row>
    <row r="116" spans="2:5" x14ac:dyDescent="0.35">
      <c r="B116" s="34">
        <v>4003439250</v>
      </c>
      <c r="C116" s="33" t="s">
        <v>1843</v>
      </c>
      <c r="D116" s="33" t="s">
        <v>1930</v>
      </c>
      <c r="E116" s="34"/>
    </row>
    <row r="117" spans="2:5" x14ac:dyDescent="0.35">
      <c r="B117" s="34">
        <v>3093284483</v>
      </c>
      <c r="C117" s="33" t="s">
        <v>1856</v>
      </c>
      <c r="D117" s="33" t="s">
        <v>1931</v>
      </c>
      <c r="E117" s="34"/>
    </row>
    <row r="118" spans="2:5" x14ac:dyDescent="0.35">
      <c r="B118" s="34">
        <v>3092463710</v>
      </c>
      <c r="C118" s="33" t="s">
        <v>1648</v>
      </c>
      <c r="D118" s="33" t="s">
        <v>1836</v>
      </c>
      <c r="E118" s="34"/>
    </row>
    <row r="119" spans="2:5" x14ac:dyDescent="0.35">
      <c r="B119" s="34">
        <v>3092463710</v>
      </c>
      <c r="C119" s="33" t="s">
        <v>1648</v>
      </c>
      <c r="D119" s="33" t="s">
        <v>1897</v>
      </c>
      <c r="E119" s="34"/>
    </row>
    <row r="120" spans="2:5" x14ac:dyDescent="0.35">
      <c r="B120" s="34">
        <v>3092463710</v>
      </c>
      <c r="C120" s="33" t="s">
        <v>1648</v>
      </c>
      <c r="D120" s="33" t="s">
        <v>1932</v>
      </c>
      <c r="E120" s="34"/>
    </row>
    <row r="121" spans="2:5" x14ac:dyDescent="0.35">
      <c r="B121" s="34">
        <v>3092463710</v>
      </c>
      <c r="C121" s="33" t="s">
        <v>1648</v>
      </c>
      <c r="D121" s="33" t="s">
        <v>1933</v>
      </c>
      <c r="E121" s="34"/>
    </row>
    <row r="122" spans="2:5" x14ac:dyDescent="0.35">
      <c r="B122" s="34">
        <v>3092481006</v>
      </c>
      <c r="C122" s="33" t="s">
        <v>1648</v>
      </c>
      <c r="D122" s="33" t="s">
        <v>1836</v>
      </c>
      <c r="E122" s="34"/>
    </row>
    <row r="123" spans="2:5" x14ac:dyDescent="0.35">
      <c r="B123" s="34">
        <v>3092481006</v>
      </c>
      <c r="C123" s="33" t="s">
        <v>1648</v>
      </c>
      <c r="D123" s="33" t="s">
        <v>1897</v>
      </c>
      <c r="E123" s="34"/>
    </row>
    <row r="124" spans="2:5" x14ac:dyDescent="0.35">
      <c r="B124" s="34">
        <v>3092481006</v>
      </c>
      <c r="C124" s="33" t="s">
        <v>1648</v>
      </c>
      <c r="D124" s="33" t="s">
        <v>1934</v>
      </c>
      <c r="E124" s="34"/>
    </row>
    <row r="125" spans="2:5" x14ac:dyDescent="0.35">
      <c r="B125" s="34">
        <v>3092481006</v>
      </c>
      <c r="C125" s="33" t="s">
        <v>1648</v>
      </c>
      <c r="D125" s="33" t="s">
        <v>1935</v>
      </c>
      <c r="E125" s="34"/>
    </row>
    <row r="126" spans="2:5" x14ac:dyDescent="0.35">
      <c r="B126" s="34">
        <v>3092481006</v>
      </c>
      <c r="C126" s="33" t="s">
        <v>1648</v>
      </c>
      <c r="D126" s="33" t="s">
        <v>1936</v>
      </c>
      <c r="E126" s="34"/>
    </row>
    <row r="127" spans="2:5" x14ac:dyDescent="0.35">
      <c r="B127" s="34">
        <v>3092463705</v>
      </c>
      <c r="C127" s="33" t="s">
        <v>1821</v>
      </c>
      <c r="D127" s="33" t="s">
        <v>1937</v>
      </c>
      <c r="E127" s="34"/>
    </row>
    <row r="128" spans="2:5" x14ac:dyDescent="0.35">
      <c r="B128" s="34">
        <v>3092463705</v>
      </c>
      <c r="C128" s="33" t="s">
        <v>1821</v>
      </c>
      <c r="D128" s="33" t="s">
        <v>1938</v>
      </c>
      <c r="E128" s="34"/>
    </row>
    <row r="129" spans="2:5" x14ac:dyDescent="0.35">
      <c r="B129" s="34">
        <v>3095788996</v>
      </c>
      <c r="C129" s="33" t="s">
        <v>1843</v>
      </c>
      <c r="D129" s="33" t="s">
        <v>1844</v>
      </c>
      <c r="E129" s="34"/>
    </row>
    <row r="130" spans="2:5" x14ac:dyDescent="0.35">
      <c r="B130" s="34">
        <v>3092500980</v>
      </c>
      <c r="C130" s="33" t="s">
        <v>1856</v>
      </c>
      <c r="D130" s="33" t="s">
        <v>1939</v>
      </c>
      <c r="E130" s="34"/>
    </row>
    <row r="131" spans="2:5" x14ac:dyDescent="0.35">
      <c r="B131" s="34">
        <v>3092500980</v>
      </c>
      <c r="C131" s="33" t="s">
        <v>1821</v>
      </c>
      <c r="D131" s="33" t="s">
        <v>1940</v>
      </c>
      <c r="E131" s="34"/>
    </row>
    <row r="132" spans="2:5" x14ac:dyDescent="0.35">
      <c r="B132" s="34">
        <v>3092472114</v>
      </c>
      <c r="C132" s="33" t="s">
        <v>1821</v>
      </c>
      <c r="D132" s="33" t="s">
        <v>1897</v>
      </c>
      <c r="E132" s="34"/>
    </row>
    <row r="133" spans="2:5" x14ac:dyDescent="0.35">
      <c r="B133" s="34">
        <v>3092472114</v>
      </c>
      <c r="C133" s="33" t="s">
        <v>1821</v>
      </c>
      <c r="D133" s="33" t="s">
        <v>1941</v>
      </c>
      <c r="E133" s="34"/>
    </row>
    <row r="134" spans="2:5" x14ac:dyDescent="0.35">
      <c r="B134" s="34">
        <v>3092472114</v>
      </c>
      <c r="C134" s="33" t="s">
        <v>1821</v>
      </c>
      <c r="D134" s="33" t="s">
        <v>1942</v>
      </c>
      <c r="E134" s="34"/>
    </row>
    <row r="135" spans="2:5" x14ac:dyDescent="0.35">
      <c r="B135" s="34">
        <v>3095297267</v>
      </c>
      <c r="C135" s="33" t="s">
        <v>1824</v>
      </c>
      <c r="D135" s="33" t="s">
        <v>1943</v>
      </c>
      <c r="E135" s="34"/>
    </row>
    <row r="136" spans="2:5" x14ac:dyDescent="0.35">
      <c r="B136" s="34">
        <v>3095297267</v>
      </c>
      <c r="C136" s="33" t="s">
        <v>1824</v>
      </c>
      <c r="D136" s="33" t="s">
        <v>1944</v>
      </c>
      <c r="E136" s="34"/>
    </row>
    <row r="137" spans="2:5" x14ac:dyDescent="0.35">
      <c r="B137" s="34">
        <v>3093214688</v>
      </c>
      <c r="C137" s="33" t="s">
        <v>1856</v>
      </c>
      <c r="D137" s="33" t="s">
        <v>1939</v>
      </c>
      <c r="E137" s="34"/>
    </row>
    <row r="138" spans="2:5" x14ac:dyDescent="0.35">
      <c r="B138" s="34">
        <v>3095656055</v>
      </c>
      <c r="C138" s="33" t="s">
        <v>1648</v>
      </c>
      <c r="D138" s="33" t="s">
        <v>1841</v>
      </c>
      <c r="E138" s="34"/>
    </row>
    <row r="139" spans="2:5" x14ac:dyDescent="0.35">
      <c r="B139" s="34">
        <v>3095656055</v>
      </c>
      <c r="C139" s="33" t="s">
        <v>1648</v>
      </c>
      <c r="D139" s="33" t="s">
        <v>1945</v>
      </c>
      <c r="E139" s="34"/>
    </row>
    <row r="140" spans="2:5" x14ac:dyDescent="0.35">
      <c r="B140" s="34">
        <v>3092460891</v>
      </c>
      <c r="C140" s="33" t="s">
        <v>1856</v>
      </c>
      <c r="D140" s="33" t="s">
        <v>1946</v>
      </c>
      <c r="E140" s="34"/>
    </row>
    <row r="141" spans="2:5" x14ac:dyDescent="0.35">
      <c r="B141" s="34">
        <v>3092460886</v>
      </c>
      <c r="C141" s="33" t="s">
        <v>1856</v>
      </c>
      <c r="D141" s="33" t="s">
        <v>1939</v>
      </c>
      <c r="E141" s="34"/>
    </row>
    <row r="142" spans="2:5" x14ac:dyDescent="0.35">
      <c r="B142" s="34">
        <v>3092460888</v>
      </c>
      <c r="C142" s="33" t="s">
        <v>1856</v>
      </c>
      <c r="D142" s="33" t="s">
        <v>1857</v>
      </c>
      <c r="E142" s="34"/>
    </row>
    <row r="143" spans="2:5" x14ac:dyDescent="0.35">
      <c r="B143" s="34">
        <v>11346</v>
      </c>
      <c r="C143" s="33" t="s">
        <v>1906</v>
      </c>
      <c r="D143" s="33" t="s">
        <v>1936</v>
      </c>
      <c r="E143" s="34"/>
    </row>
    <row r="144" spans="2:5" x14ac:dyDescent="0.35">
      <c r="B144" s="35">
        <v>3095247346</v>
      </c>
      <c r="C144" s="36" t="s">
        <v>1648</v>
      </c>
      <c r="D144" s="36" t="s">
        <v>1947</v>
      </c>
      <c r="E144" s="35"/>
    </row>
    <row r="145" spans="2:5" x14ac:dyDescent="0.35">
      <c r="B145" s="35">
        <v>3095247346</v>
      </c>
      <c r="C145" s="36" t="s">
        <v>1648</v>
      </c>
      <c r="D145" s="36" t="s">
        <v>1947</v>
      </c>
      <c r="E145" s="35"/>
    </row>
    <row r="146" spans="2:5" ht="37.5" x14ac:dyDescent="0.35">
      <c r="B146" s="34">
        <v>3095771039</v>
      </c>
      <c r="C146" s="33" t="s">
        <v>1821</v>
      </c>
      <c r="D146" s="33" t="s">
        <v>1948</v>
      </c>
      <c r="E146" s="34"/>
    </row>
    <row r="147" spans="2:5" x14ac:dyDescent="0.35">
      <c r="B147" s="34">
        <v>3092460690</v>
      </c>
      <c r="C147" s="33" t="s">
        <v>1821</v>
      </c>
      <c r="D147" s="33" t="s">
        <v>1949</v>
      </c>
      <c r="E147" s="34"/>
    </row>
    <row r="148" spans="2:5" x14ac:dyDescent="0.35">
      <c r="B148" s="34">
        <v>3092460728</v>
      </c>
      <c r="C148" s="33" t="s">
        <v>1834</v>
      </c>
      <c r="D148" s="33" t="s">
        <v>1842</v>
      </c>
      <c r="E148" s="34"/>
    </row>
    <row r="149" spans="2:5" x14ac:dyDescent="0.35">
      <c r="B149" s="34">
        <v>3092460691</v>
      </c>
      <c r="C149" s="33" t="s">
        <v>1856</v>
      </c>
      <c r="D149" s="33" t="s">
        <v>1939</v>
      </c>
      <c r="E149" s="34"/>
    </row>
    <row r="150" spans="2:5" x14ac:dyDescent="0.35">
      <c r="B150" s="34">
        <v>3092471784</v>
      </c>
      <c r="C150" s="33" t="s">
        <v>1648</v>
      </c>
      <c r="D150" s="33" t="s">
        <v>1950</v>
      </c>
      <c r="E150" s="34"/>
    </row>
    <row r="151" spans="2:5" x14ac:dyDescent="0.35">
      <c r="B151" s="34">
        <v>3095386178</v>
      </c>
      <c r="C151" s="33" t="s">
        <v>1648</v>
      </c>
      <c r="D151" s="33" t="s">
        <v>1951</v>
      </c>
      <c r="E151" s="34"/>
    </row>
    <row r="152" spans="2:5" x14ac:dyDescent="0.35">
      <c r="B152" s="34">
        <v>3095671623</v>
      </c>
      <c r="C152" s="33" t="s">
        <v>1906</v>
      </c>
      <c r="D152" s="33" t="s">
        <v>1907</v>
      </c>
      <c r="E152" s="34"/>
    </row>
    <row r="153" spans="2:5" x14ac:dyDescent="0.35">
      <c r="B153" s="34">
        <v>3095155483</v>
      </c>
      <c r="C153" s="33" t="s">
        <v>1906</v>
      </c>
      <c r="D153" s="33" t="s">
        <v>1936</v>
      </c>
      <c r="E153" s="34"/>
    </row>
    <row r="154" spans="2:5" x14ac:dyDescent="0.35">
      <c r="B154" s="34">
        <v>24672050</v>
      </c>
      <c r="C154" s="33" t="s">
        <v>1906</v>
      </c>
      <c r="D154" s="33" t="s">
        <v>1936</v>
      </c>
      <c r="E154" s="34"/>
    </row>
    <row r="155" spans="2:5" x14ac:dyDescent="0.35">
      <c r="B155" s="34">
        <v>54887551</v>
      </c>
      <c r="C155" s="33" t="s">
        <v>1906</v>
      </c>
      <c r="D155" s="33" t="s">
        <v>1952</v>
      </c>
      <c r="E155" s="34"/>
    </row>
    <row r="156" spans="2:5" x14ac:dyDescent="0.35">
      <c r="B156" s="34">
        <v>42629683</v>
      </c>
      <c r="C156" s="33" t="s">
        <v>1906</v>
      </c>
      <c r="D156" s="33" t="s">
        <v>1953</v>
      </c>
      <c r="E156" s="34"/>
    </row>
    <row r="157" spans="2:5" x14ac:dyDescent="0.35">
      <c r="B157" s="34">
        <v>24698725</v>
      </c>
      <c r="C157" s="33" t="s">
        <v>1906</v>
      </c>
      <c r="D157" s="33" t="s">
        <v>1907</v>
      </c>
      <c r="E157" s="34"/>
    </row>
    <row r="158" spans="2:5" x14ac:dyDescent="0.35">
      <c r="B158" s="34">
        <v>24698067</v>
      </c>
      <c r="C158" s="33" t="s">
        <v>1856</v>
      </c>
      <c r="D158" s="33" t="s">
        <v>1939</v>
      </c>
      <c r="E158" s="34"/>
    </row>
    <row r="159" spans="2:5" x14ac:dyDescent="0.35">
      <c r="B159" s="34">
        <v>24684279</v>
      </c>
      <c r="C159" s="33" t="s">
        <v>1648</v>
      </c>
      <c r="D159" s="33" t="s">
        <v>1947</v>
      </c>
      <c r="E159" s="34"/>
    </row>
    <row r="160" spans="2:5" x14ac:dyDescent="0.35">
      <c r="B160" s="34">
        <v>24685356</v>
      </c>
      <c r="C160" s="33" t="s">
        <v>1906</v>
      </c>
      <c r="D160" s="33" t="s">
        <v>1936</v>
      </c>
      <c r="E160" s="34"/>
    </row>
    <row r="161" spans="2:5" x14ac:dyDescent="0.35">
      <c r="B161" s="34">
        <v>38903083</v>
      </c>
      <c r="C161" s="33" t="s">
        <v>1906</v>
      </c>
      <c r="D161" s="33" t="s">
        <v>1907</v>
      </c>
      <c r="E161" s="34"/>
    </row>
    <row r="162" spans="2:5" x14ac:dyDescent="0.35">
      <c r="B162" s="34">
        <v>10208003</v>
      </c>
      <c r="C162" s="33" t="s">
        <v>1856</v>
      </c>
      <c r="D162" s="33" t="s">
        <v>1939</v>
      </c>
      <c r="E162" s="34"/>
    </row>
    <row r="163" spans="2:5" x14ac:dyDescent="0.35">
      <c r="B163" s="34">
        <v>3093281802</v>
      </c>
      <c r="C163" s="33" t="s">
        <v>1906</v>
      </c>
      <c r="D163" s="33" t="s">
        <v>1936</v>
      </c>
      <c r="E163" s="34"/>
    </row>
    <row r="164" spans="2:5" x14ac:dyDescent="0.35">
      <c r="B164" s="34">
        <v>3092460505</v>
      </c>
      <c r="C164" s="33" t="s">
        <v>1648</v>
      </c>
      <c r="D164" s="33" t="s">
        <v>1954</v>
      </c>
      <c r="E164" s="34"/>
    </row>
    <row r="165" spans="2:5" x14ac:dyDescent="0.35">
      <c r="B165" s="34">
        <v>51544661</v>
      </c>
      <c r="C165" s="33" t="s">
        <v>1906</v>
      </c>
      <c r="D165" s="33" t="s">
        <v>1936</v>
      </c>
      <c r="E165" s="34"/>
    </row>
    <row r="166" spans="2:5" ht="25" x14ac:dyDescent="0.35">
      <c r="B166" s="34">
        <v>3092460547</v>
      </c>
      <c r="C166" s="33" t="s">
        <v>1648</v>
      </c>
      <c r="D166" s="33" t="s">
        <v>1955</v>
      </c>
      <c r="E166" s="34"/>
    </row>
    <row r="167" spans="2:5" x14ac:dyDescent="0.35">
      <c r="B167" s="34">
        <v>3092473662</v>
      </c>
      <c r="C167" s="33" t="s">
        <v>1956</v>
      </c>
      <c r="D167" s="33" t="s">
        <v>1957</v>
      </c>
      <c r="E167" s="34"/>
    </row>
    <row r="168" spans="2:5" ht="25" x14ac:dyDescent="0.35">
      <c r="B168" s="34">
        <v>3092473307</v>
      </c>
      <c r="C168" s="33" t="s">
        <v>1856</v>
      </c>
      <c r="D168" s="33" t="s">
        <v>1958</v>
      </c>
      <c r="E168" s="34"/>
    </row>
    <row r="169" spans="2:5" x14ac:dyDescent="0.35">
      <c r="B169" s="34">
        <v>3092473642</v>
      </c>
      <c r="C169" s="33" t="s">
        <v>1648</v>
      </c>
      <c r="D169" s="33" t="s">
        <v>1959</v>
      </c>
      <c r="E169" s="34"/>
    </row>
    <row r="170" spans="2:5" x14ac:dyDescent="0.35">
      <c r="B170" s="34">
        <v>3092470735</v>
      </c>
      <c r="C170" s="33" t="s">
        <v>1856</v>
      </c>
      <c r="D170" s="33" t="s">
        <v>1939</v>
      </c>
      <c r="E170" s="34"/>
    </row>
    <row r="171" spans="2:5" x14ac:dyDescent="0.35">
      <c r="B171" s="34">
        <v>3092463406</v>
      </c>
      <c r="C171" s="33" t="s">
        <v>1648</v>
      </c>
      <c r="D171" s="33" t="s">
        <v>1960</v>
      </c>
      <c r="E171" s="34"/>
    </row>
    <row r="172" spans="2:5" x14ac:dyDescent="0.35">
      <c r="B172" s="34">
        <v>3092535385</v>
      </c>
      <c r="C172" s="33" t="s">
        <v>1906</v>
      </c>
      <c r="D172" s="33" t="s">
        <v>1936</v>
      </c>
      <c r="E172" s="34"/>
    </row>
    <row r="173" spans="2:5" x14ac:dyDescent="0.35">
      <c r="B173" s="34">
        <v>3092467876</v>
      </c>
      <c r="C173" s="33" t="s">
        <v>1856</v>
      </c>
      <c r="D173" s="33" t="s">
        <v>1946</v>
      </c>
      <c r="E173" s="34"/>
    </row>
    <row r="174" spans="2:5" x14ac:dyDescent="0.35">
      <c r="B174" s="34">
        <v>3092464228</v>
      </c>
      <c r="C174" s="33" t="s">
        <v>1856</v>
      </c>
      <c r="D174" s="33" t="s">
        <v>1939</v>
      </c>
      <c r="E174" s="34"/>
    </row>
    <row r="175" spans="2:5" x14ac:dyDescent="0.35">
      <c r="B175" s="34">
        <v>3092467870</v>
      </c>
      <c r="C175" s="33" t="s">
        <v>1856</v>
      </c>
      <c r="D175" s="33" t="s">
        <v>1857</v>
      </c>
      <c r="E175" s="34"/>
    </row>
    <row r="176" spans="2:5" x14ac:dyDescent="0.35">
      <c r="B176" s="34">
        <v>3093126257</v>
      </c>
      <c r="C176" s="33" t="s">
        <v>1906</v>
      </c>
      <c r="D176" s="33" t="s">
        <v>1936</v>
      </c>
      <c r="E176" s="34"/>
    </row>
    <row r="177" spans="2:5" x14ac:dyDescent="0.35">
      <c r="B177" s="34">
        <v>3095114676</v>
      </c>
      <c r="C177" s="33" t="s">
        <v>1856</v>
      </c>
      <c r="D177" s="33" t="s">
        <v>1939</v>
      </c>
      <c r="E177" s="34"/>
    </row>
    <row r="178" spans="2:5" x14ac:dyDescent="0.35">
      <c r="B178" s="34">
        <v>3092463125</v>
      </c>
      <c r="C178" s="33" t="s">
        <v>1821</v>
      </c>
      <c r="D178" s="33" t="s">
        <v>1961</v>
      </c>
      <c r="E178" s="34"/>
    </row>
    <row r="179" spans="2:5" x14ac:dyDescent="0.35">
      <c r="B179" s="34">
        <v>3092460461</v>
      </c>
      <c r="C179" s="33" t="s">
        <v>1821</v>
      </c>
      <c r="D179" s="33" t="s">
        <v>1962</v>
      </c>
      <c r="E179" s="34"/>
    </row>
    <row r="180" spans="2:5" x14ac:dyDescent="0.35">
      <c r="B180" s="34">
        <v>4003564972</v>
      </c>
      <c r="C180" s="33" t="s">
        <v>1906</v>
      </c>
      <c r="D180" s="33" t="s">
        <v>1907</v>
      </c>
      <c r="E180" s="34"/>
    </row>
    <row r="181" spans="2:5" x14ac:dyDescent="0.35">
      <c r="B181" s="34">
        <v>3092463215</v>
      </c>
      <c r="C181" s="33" t="s">
        <v>1648</v>
      </c>
      <c r="D181" s="33" t="s">
        <v>1963</v>
      </c>
      <c r="E181" s="34"/>
    </row>
    <row r="182" spans="2:5" x14ac:dyDescent="0.35">
      <c r="B182" s="34">
        <v>3092982493</v>
      </c>
      <c r="C182" s="33" t="s">
        <v>1906</v>
      </c>
      <c r="D182" s="33" t="s">
        <v>1964</v>
      </c>
      <c r="E182" s="34"/>
    </row>
    <row r="183" spans="2:5" x14ac:dyDescent="0.35">
      <c r="B183" s="34">
        <v>3092496823</v>
      </c>
      <c r="C183" s="33" t="s">
        <v>1856</v>
      </c>
      <c r="D183" s="33" t="s">
        <v>1965</v>
      </c>
      <c r="E183" s="34"/>
    </row>
    <row r="184" spans="2:5" x14ac:dyDescent="0.35">
      <c r="B184" s="34">
        <v>4003028310</v>
      </c>
      <c r="C184" s="33" t="s">
        <v>1856</v>
      </c>
      <c r="D184" s="33" t="s">
        <v>1966</v>
      </c>
      <c r="E184" s="34"/>
    </row>
    <row r="185" spans="2:5" ht="25" x14ac:dyDescent="0.35">
      <c r="B185" s="34">
        <v>3095496658</v>
      </c>
      <c r="C185" s="33" t="s">
        <v>1856</v>
      </c>
      <c r="D185" s="33" t="s">
        <v>1967</v>
      </c>
      <c r="E185" s="34"/>
    </row>
    <row r="186" spans="2:5" x14ac:dyDescent="0.35">
      <c r="B186" s="34">
        <v>4003486548</v>
      </c>
      <c r="C186" s="33" t="s">
        <v>1829</v>
      </c>
      <c r="D186" s="33" t="s">
        <v>1830</v>
      </c>
      <c r="E186" s="34"/>
    </row>
    <row r="187" spans="2:5" x14ac:dyDescent="0.35">
      <c r="B187" s="34">
        <v>4003543216</v>
      </c>
      <c r="C187" s="33" t="s">
        <v>1829</v>
      </c>
      <c r="D187" s="33" t="s">
        <v>1968</v>
      </c>
      <c r="E187" s="34"/>
    </row>
    <row r="188" spans="2:5" x14ac:dyDescent="0.35">
      <c r="B188" s="34">
        <v>1004962981</v>
      </c>
      <c r="C188" s="33" t="s">
        <v>1829</v>
      </c>
      <c r="D188" s="33" t="s">
        <v>1969</v>
      </c>
      <c r="E188" s="34"/>
    </row>
    <row r="189" spans="2:5" x14ac:dyDescent="0.35">
      <c r="B189" s="34">
        <v>4002649083</v>
      </c>
      <c r="C189" s="33" t="s">
        <v>1834</v>
      </c>
      <c r="D189" s="33" t="s">
        <v>1970</v>
      </c>
      <c r="E189" s="34"/>
    </row>
    <row r="190" spans="2:5" x14ac:dyDescent="0.35">
      <c r="B190" s="34">
        <v>4003595460</v>
      </c>
      <c r="C190" s="33" t="s">
        <v>1906</v>
      </c>
      <c r="D190" s="33" t="s">
        <v>1907</v>
      </c>
      <c r="E190" s="34"/>
    </row>
    <row r="191" spans="2:5" x14ac:dyDescent="0.35">
      <c r="B191" s="34">
        <v>4003597541</v>
      </c>
      <c r="C191" s="33" t="s">
        <v>1843</v>
      </c>
      <c r="D191" s="33" t="s">
        <v>1844</v>
      </c>
      <c r="E191" s="34"/>
    </row>
    <row r="192" spans="2:5" x14ac:dyDescent="0.35">
      <c r="B192" s="34">
        <v>4003686205</v>
      </c>
      <c r="C192" s="33" t="s">
        <v>1821</v>
      </c>
      <c r="D192" s="33" t="s">
        <v>1971</v>
      </c>
      <c r="E192" s="34"/>
    </row>
    <row r="193" spans="2:5" x14ac:dyDescent="0.35">
      <c r="B193" s="34">
        <v>4003080852</v>
      </c>
      <c r="C193" s="33" t="s">
        <v>1829</v>
      </c>
      <c r="D193" s="33" t="s">
        <v>1972</v>
      </c>
      <c r="E193" s="34"/>
    </row>
    <row r="194" spans="2:5" x14ac:dyDescent="0.35">
      <c r="B194" s="34">
        <v>4003813398</v>
      </c>
      <c r="C194" s="33" t="s">
        <v>1829</v>
      </c>
      <c r="D194" s="33" t="s">
        <v>1968</v>
      </c>
      <c r="E194" s="34"/>
    </row>
    <row r="195" spans="2:5" x14ac:dyDescent="0.35">
      <c r="B195" s="34">
        <v>4003813414</v>
      </c>
      <c r="C195" s="33" t="s">
        <v>1829</v>
      </c>
      <c r="D195" s="33" t="s">
        <v>1831</v>
      </c>
      <c r="E195" s="34"/>
    </row>
    <row r="196" spans="2:5" x14ac:dyDescent="0.35">
      <c r="B196" s="34">
        <v>4003876152</v>
      </c>
      <c r="C196" s="33" t="s">
        <v>1829</v>
      </c>
      <c r="D196" s="33" t="s">
        <v>1973</v>
      </c>
      <c r="E196" s="34"/>
    </row>
    <row r="197" spans="2:5" x14ac:dyDescent="0.35">
      <c r="B197" s="34">
        <v>4003832851</v>
      </c>
      <c r="C197" s="33" t="s">
        <v>1856</v>
      </c>
      <c r="D197" s="33" t="s">
        <v>1939</v>
      </c>
      <c r="E197" s="34"/>
    </row>
    <row r="198" spans="2:5" x14ac:dyDescent="0.35">
      <c r="B198" s="34">
        <v>3095653821</v>
      </c>
      <c r="C198" s="33" t="s">
        <v>1956</v>
      </c>
      <c r="D198" s="33" t="s">
        <v>1974</v>
      </c>
      <c r="E198" s="34"/>
    </row>
    <row r="199" spans="2:5" x14ac:dyDescent="0.35">
      <c r="B199" s="34">
        <v>3095124223</v>
      </c>
      <c r="C199" s="33" t="s">
        <v>1956</v>
      </c>
      <c r="D199" s="33" t="s">
        <v>1974</v>
      </c>
      <c r="E199" s="34"/>
    </row>
    <row r="200" spans="2:5" x14ac:dyDescent="0.35">
      <c r="B200" s="34">
        <v>3095656133</v>
      </c>
      <c r="C200" s="33" t="s">
        <v>1956</v>
      </c>
      <c r="D200" s="33" t="s">
        <v>1974</v>
      </c>
      <c r="E200" s="34"/>
    </row>
    <row r="201" spans="2:5" x14ac:dyDescent="0.35">
      <c r="B201" s="34">
        <v>3092462551</v>
      </c>
      <c r="C201" s="33" t="s">
        <v>1956</v>
      </c>
      <c r="D201" s="33" t="s">
        <v>1974</v>
      </c>
      <c r="E201" s="34"/>
    </row>
    <row r="202" spans="2:5" x14ac:dyDescent="0.35">
      <c r="B202" s="34">
        <v>3092667712</v>
      </c>
      <c r="C202" s="33" t="s">
        <v>1956</v>
      </c>
      <c r="D202" s="33" t="s">
        <v>1974</v>
      </c>
      <c r="E202" s="34"/>
    </row>
    <row r="203" spans="2:5" x14ac:dyDescent="0.35">
      <c r="B203" s="34">
        <v>3095653005</v>
      </c>
      <c r="C203" s="33" t="s">
        <v>1956</v>
      </c>
      <c r="D203" s="33" t="s">
        <v>1975</v>
      </c>
      <c r="E203" s="34"/>
    </row>
    <row r="204" spans="2:5" x14ac:dyDescent="0.35">
      <c r="B204" s="34">
        <v>3095160145</v>
      </c>
      <c r="C204" s="33" t="s">
        <v>1956</v>
      </c>
      <c r="D204" s="33" t="s">
        <v>1976</v>
      </c>
      <c r="E204" s="34"/>
    </row>
    <row r="205" spans="2:5" x14ac:dyDescent="0.35">
      <c r="B205" s="34">
        <v>3092471801</v>
      </c>
      <c r="C205" s="33" t="s">
        <v>1956</v>
      </c>
      <c r="D205" s="33" t="s">
        <v>1974</v>
      </c>
      <c r="E205" s="34"/>
    </row>
    <row r="206" spans="2:5" x14ac:dyDescent="0.35">
      <c r="B206" s="34">
        <v>3095770725</v>
      </c>
      <c r="C206" s="33" t="s">
        <v>1956</v>
      </c>
      <c r="D206" s="33" t="s">
        <v>1974</v>
      </c>
      <c r="E206" s="34"/>
    </row>
    <row r="207" spans="2:5" x14ac:dyDescent="0.35">
      <c r="B207" s="34">
        <v>3093326489</v>
      </c>
      <c r="C207" s="33" t="s">
        <v>1956</v>
      </c>
      <c r="D207" s="33" t="s">
        <v>1977</v>
      </c>
      <c r="E207" s="34"/>
    </row>
    <row r="208" spans="2:5" x14ac:dyDescent="0.35">
      <c r="B208" s="34">
        <v>3092460561</v>
      </c>
      <c r="C208" s="33" t="s">
        <v>1956</v>
      </c>
      <c r="D208" s="33" t="s">
        <v>1974</v>
      </c>
      <c r="E208" s="34"/>
    </row>
    <row r="209" spans="2:5" x14ac:dyDescent="0.35">
      <c r="B209" s="34">
        <v>3092463412</v>
      </c>
      <c r="C209" s="33" t="s">
        <v>1956</v>
      </c>
      <c r="D209" s="33" t="s">
        <v>1978</v>
      </c>
      <c r="E209" s="34"/>
    </row>
    <row r="210" spans="2:5" x14ac:dyDescent="0.35">
      <c r="B210" s="34" t="s">
        <v>1979</v>
      </c>
      <c r="C210" s="33" t="s">
        <v>1956</v>
      </c>
      <c r="D210" s="33" t="s">
        <v>1980</v>
      </c>
      <c r="E210" s="34"/>
    </row>
    <row r="211" spans="2:5" x14ac:dyDescent="0.35">
      <c r="B211" s="34">
        <v>72686189</v>
      </c>
      <c r="C211" s="33" t="s">
        <v>1834</v>
      </c>
      <c r="D211" s="33" t="s">
        <v>1835</v>
      </c>
      <c r="E211" s="34"/>
    </row>
    <row r="212" spans="2:5" x14ac:dyDescent="0.35">
      <c r="B212" s="34">
        <v>72686413</v>
      </c>
      <c r="C212" s="33" t="s">
        <v>1648</v>
      </c>
      <c r="D212" s="33" t="s">
        <v>1897</v>
      </c>
      <c r="E212" s="34"/>
    </row>
    <row r="213" spans="2:5" x14ac:dyDescent="0.35">
      <c r="B213" s="34">
        <v>24688550</v>
      </c>
      <c r="C213" s="33" t="s">
        <v>1648</v>
      </c>
      <c r="D213" s="33" t="s">
        <v>1960</v>
      </c>
      <c r="E213" s="34"/>
    </row>
    <row r="214" spans="2:5" x14ac:dyDescent="0.35">
      <c r="B214" s="34">
        <v>37666282</v>
      </c>
      <c r="C214" s="33" t="s">
        <v>1956</v>
      </c>
      <c r="D214" s="33" t="s">
        <v>1974</v>
      </c>
      <c r="E214" s="34"/>
    </row>
    <row r="215" spans="2:5" x14ac:dyDescent="0.35">
      <c r="B215" s="34">
        <v>24729477</v>
      </c>
      <c r="C215" s="33" t="s">
        <v>1956</v>
      </c>
      <c r="D215" s="33" t="s">
        <v>1974</v>
      </c>
      <c r="E215" s="34"/>
    </row>
    <row r="216" spans="2:5" x14ac:dyDescent="0.35">
      <c r="B216" s="34">
        <v>24687995</v>
      </c>
      <c r="C216" s="33" t="s">
        <v>1956</v>
      </c>
      <c r="D216" s="33" t="s">
        <v>1974</v>
      </c>
      <c r="E216" s="34"/>
    </row>
    <row r="217" spans="2:5" x14ac:dyDescent="0.35">
      <c r="B217" s="34">
        <v>3092460505</v>
      </c>
      <c r="C217" s="33" t="s">
        <v>1648</v>
      </c>
      <c r="D217" s="33" t="s">
        <v>1954</v>
      </c>
      <c r="E217" s="34"/>
    </row>
    <row r="218" spans="2:5" ht="25" x14ac:dyDescent="0.35">
      <c r="B218" s="34">
        <v>3092460547</v>
      </c>
      <c r="C218" s="33" t="s">
        <v>1648</v>
      </c>
      <c r="D218" s="33" t="s">
        <v>1955</v>
      </c>
      <c r="E218" s="34"/>
    </row>
    <row r="219" spans="2:5" x14ac:dyDescent="0.35">
      <c r="B219" s="34">
        <v>3092500980</v>
      </c>
      <c r="C219" s="33" t="s">
        <v>1821</v>
      </c>
      <c r="D219" s="33" t="s">
        <v>1981</v>
      </c>
      <c r="E219" s="34"/>
    </row>
    <row r="220" spans="2:5" x14ac:dyDescent="0.35">
      <c r="B220" s="34">
        <v>3095641510</v>
      </c>
      <c r="C220" s="33" t="s">
        <v>1648</v>
      </c>
      <c r="D220" s="33" t="s">
        <v>1982</v>
      </c>
      <c r="E220" s="34"/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80CA6-4B4E-4771-8A68-69F602E00575}">
  <sheetPr codeName="Planilha33">
    <tabColor rgb="FFFFC000"/>
  </sheetPr>
  <dimension ref="A1:C847"/>
  <sheetViews>
    <sheetView showGridLines="0" topLeftCell="A76" zoomScaleNormal="100" workbookViewId="0">
      <selection activeCell="C95" sqref="C95"/>
    </sheetView>
  </sheetViews>
  <sheetFormatPr defaultRowHeight="14.5" x14ac:dyDescent="0.35"/>
  <cols>
    <col min="1" max="1" width="36.453125" bestFit="1" customWidth="1"/>
    <col min="2" max="2" width="34.81640625" bestFit="1" customWidth="1"/>
    <col min="3" max="3" width="7.7265625" bestFit="1" customWidth="1"/>
    <col min="6" max="6" width="33.7265625" bestFit="1" customWidth="1"/>
    <col min="7" max="7" width="27.54296875" bestFit="1" customWidth="1"/>
  </cols>
  <sheetData>
    <row r="1" spans="1:3" x14ac:dyDescent="0.35">
      <c r="A1" t="s">
        <v>1983</v>
      </c>
      <c r="B1" t="s">
        <v>1984</v>
      </c>
      <c r="C1" t="s">
        <v>1985</v>
      </c>
    </row>
    <row r="2" spans="1:3" x14ac:dyDescent="0.35">
      <c r="A2" t="s">
        <v>1986</v>
      </c>
      <c r="B2" s="15">
        <v>45474</v>
      </c>
      <c r="C2">
        <v>75</v>
      </c>
    </row>
    <row r="3" spans="1:3" x14ac:dyDescent="0.35">
      <c r="A3" t="s">
        <v>1986</v>
      </c>
      <c r="B3" s="15">
        <f>B2+2</f>
        <v>45476</v>
      </c>
      <c r="C3">
        <v>75</v>
      </c>
    </row>
    <row r="4" spans="1:3" x14ac:dyDescent="0.35">
      <c r="A4" t="s">
        <v>1986</v>
      </c>
      <c r="B4" s="15">
        <f t="shared" ref="B4:B68" si="0">B3+2</f>
        <v>45478</v>
      </c>
      <c r="C4">
        <v>75</v>
      </c>
    </row>
    <row r="5" spans="1:3" x14ac:dyDescent="0.35">
      <c r="A5" t="s">
        <v>1986</v>
      </c>
      <c r="B5" s="15">
        <f t="shared" si="0"/>
        <v>45480</v>
      </c>
      <c r="C5">
        <v>75</v>
      </c>
    </row>
    <row r="6" spans="1:3" x14ac:dyDescent="0.35">
      <c r="A6" t="s">
        <v>1986</v>
      </c>
      <c r="B6" s="15">
        <f t="shared" si="0"/>
        <v>45482</v>
      </c>
      <c r="C6">
        <v>75</v>
      </c>
    </row>
    <row r="7" spans="1:3" x14ac:dyDescent="0.35">
      <c r="A7" t="s">
        <v>1986</v>
      </c>
      <c r="B7" s="15">
        <f t="shared" si="0"/>
        <v>45484</v>
      </c>
      <c r="C7">
        <v>75</v>
      </c>
    </row>
    <row r="8" spans="1:3" x14ac:dyDescent="0.35">
      <c r="A8" t="s">
        <v>1986</v>
      </c>
      <c r="B8" s="15">
        <f t="shared" si="0"/>
        <v>45486</v>
      </c>
      <c r="C8">
        <v>75</v>
      </c>
    </row>
    <row r="9" spans="1:3" x14ac:dyDescent="0.35">
      <c r="A9" t="s">
        <v>1986</v>
      </c>
      <c r="B9" s="15">
        <f t="shared" si="0"/>
        <v>45488</v>
      </c>
      <c r="C9">
        <v>75</v>
      </c>
    </row>
    <row r="10" spans="1:3" x14ac:dyDescent="0.35">
      <c r="A10" t="s">
        <v>1986</v>
      </c>
      <c r="B10" s="15">
        <f t="shared" si="0"/>
        <v>45490</v>
      </c>
      <c r="C10">
        <v>75</v>
      </c>
    </row>
    <row r="11" spans="1:3" x14ac:dyDescent="0.35">
      <c r="A11" t="s">
        <v>1986</v>
      </c>
      <c r="B11" s="15">
        <f t="shared" si="0"/>
        <v>45492</v>
      </c>
      <c r="C11">
        <v>75</v>
      </c>
    </row>
    <row r="12" spans="1:3" x14ac:dyDescent="0.35">
      <c r="A12" t="s">
        <v>1986</v>
      </c>
      <c r="B12" s="15">
        <f t="shared" si="0"/>
        <v>45494</v>
      </c>
      <c r="C12">
        <v>75</v>
      </c>
    </row>
    <row r="13" spans="1:3" x14ac:dyDescent="0.35">
      <c r="A13" t="s">
        <v>1986</v>
      </c>
      <c r="B13" s="15">
        <f t="shared" si="0"/>
        <v>45496</v>
      </c>
      <c r="C13">
        <v>75</v>
      </c>
    </row>
    <row r="14" spans="1:3" x14ac:dyDescent="0.35">
      <c r="A14" t="s">
        <v>1986</v>
      </c>
      <c r="B14" s="15">
        <f t="shared" si="0"/>
        <v>45498</v>
      </c>
      <c r="C14">
        <v>75</v>
      </c>
    </row>
    <row r="15" spans="1:3" x14ac:dyDescent="0.35">
      <c r="A15" t="s">
        <v>1986</v>
      </c>
      <c r="B15" s="15">
        <f t="shared" si="0"/>
        <v>45500</v>
      </c>
      <c r="C15">
        <v>75</v>
      </c>
    </row>
    <row r="16" spans="1:3" x14ac:dyDescent="0.35">
      <c r="A16" t="s">
        <v>1986</v>
      </c>
      <c r="B16" s="15">
        <f t="shared" si="0"/>
        <v>45502</v>
      </c>
      <c r="C16">
        <v>75</v>
      </c>
    </row>
    <row r="17" spans="1:3" x14ac:dyDescent="0.35">
      <c r="A17" t="s">
        <v>1986</v>
      </c>
      <c r="B17" s="15">
        <f t="shared" si="0"/>
        <v>45504</v>
      </c>
      <c r="C17">
        <v>75</v>
      </c>
    </row>
    <row r="18" spans="1:3" x14ac:dyDescent="0.35">
      <c r="A18" t="s">
        <v>1986</v>
      </c>
      <c r="B18" s="15">
        <f t="shared" si="0"/>
        <v>45506</v>
      </c>
      <c r="C18">
        <v>75</v>
      </c>
    </row>
    <row r="19" spans="1:3" x14ac:dyDescent="0.35">
      <c r="A19" t="s">
        <v>1986</v>
      </c>
      <c r="B19" s="15">
        <f t="shared" si="0"/>
        <v>45508</v>
      </c>
      <c r="C19">
        <v>75</v>
      </c>
    </row>
    <row r="20" spans="1:3" x14ac:dyDescent="0.35">
      <c r="A20" t="s">
        <v>1986</v>
      </c>
      <c r="B20" s="15">
        <f t="shared" si="0"/>
        <v>45510</v>
      </c>
      <c r="C20">
        <v>75</v>
      </c>
    </row>
    <row r="21" spans="1:3" x14ac:dyDescent="0.35">
      <c r="A21" t="s">
        <v>1986</v>
      </c>
      <c r="B21" s="15">
        <f t="shared" si="0"/>
        <v>45512</v>
      </c>
      <c r="C21">
        <v>75</v>
      </c>
    </row>
    <row r="22" spans="1:3" x14ac:dyDescent="0.35">
      <c r="A22" t="s">
        <v>1986</v>
      </c>
      <c r="B22" s="15">
        <f t="shared" si="0"/>
        <v>45514</v>
      </c>
      <c r="C22">
        <v>75</v>
      </c>
    </row>
    <row r="23" spans="1:3" x14ac:dyDescent="0.35">
      <c r="A23" t="s">
        <v>1986</v>
      </c>
      <c r="B23" s="15">
        <f t="shared" si="0"/>
        <v>45516</v>
      </c>
      <c r="C23">
        <v>75</v>
      </c>
    </row>
    <row r="24" spans="1:3" x14ac:dyDescent="0.35">
      <c r="A24" t="s">
        <v>1986</v>
      </c>
      <c r="B24" s="15">
        <f t="shared" si="0"/>
        <v>45518</v>
      </c>
      <c r="C24">
        <v>75</v>
      </c>
    </row>
    <row r="25" spans="1:3" x14ac:dyDescent="0.35">
      <c r="A25" t="s">
        <v>1986</v>
      </c>
      <c r="B25" s="15">
        <f t="shared" si="0"/>
        <v>45520</v>
      </c>
      <c r="C25">
        <v>75</v>
      </c>
    </row>
    <row r="26" spans="1:3" x14ac:dyDescent="0.35">
      <c r="A26" t="s">
        <v>1986</v>
      </c>
      <c r="B26" s="15">
        <f t="shared" si="0"/>
        <v>45522</v>
      </c>
      <c r="C26">
        <v>75</v>
      </c>
    </row>
    <row r="27" spans="1:3" x14ac:dyDescent="0.35">
      <c r="A27" t="s">
        <v>1986</v>
      </c>
      <c r="B27" s="15">
        <f t="shared" si="0"/>
        <v>45524</v>
      </c>
      <c r="C27">
        <v>75</v>
      </c>
    </row>
    <row r="28" spans="1:3" x14ac:dyDescent="0.35">
      <c r="A28" t="s">
        <v>1986</v>
      </c>
      <c r="B28" s="15">
        <f t="shared" si="0"/>
        <v>45526</v>
      </c>
      <c r="C28">
        <v>75</v>
      </c>
    </row>
    <row r="29" spans="1:3" x14ac:dyDescent="0.35">
      <c r="A29" t="s">
        <v>1986</v>
      </c>
      <c r="B29" s="15">
        <f t="shared" si="0"/>
        <v>45528</v>
      </c>
      <c r="C29">
        <v>75</v>
      </c>
    </row>
    <row r="30" spans="1:3" x14ac:dyDescent="0.35">
      <c r="A30" t="s">
        <v>1986</v>
      </c>
      <c r="B30" s="15">
        <f t="shared" si="0"/>
        <v>45530</v>
      </c>
      <c r="C30">
        <v>75</v>
      </c>
    </row>
    <row r="31" spans="1:3" x14ac:dyDescent="0.35">
      <c r="A31" t="s">
        <v>1986</v>
      </c>
      <c r="B31" s="15">
        <f t="shared" si="0"/>
        <v>45532</v>
      </c>
      <c r="C31">
        <v>75</v>
      </c>
    </row>
    <row r="32" spans="1:3" x14ac:dyDescent="0.35">
      <c r="A32" t="s">
        <v>1986</v>
      </c>
      <c r="B32" s="15">
        <f t="shared" si="0"/>
        <v>45534</v>
      </c>
      <c r="C32">
        <v>75</v>
      </c>
    </row>
    <row r="33" spans="1:3" x14ac:dyDescent="0.35">
      <c r="A33" t="s">
        <v>1986</v>
      </c>
      <c r="B33" s="15">
        <f t="shared" si="0"/>
        <v>45536</v>
      </c>
      <c r="C33">
        <v>75</v>
      </c>
    </row>
    <row r="34" spans="1:3" x14ac:dyDescent="0.35">
      <c r="A34" t="s">
        <v>1986</v>
      </c>
      <c r="B34" s="15">
        <f t="shared" si="0"/>
        <v>45538</v>
      </c>
      <c r="C34">
        <v>75</v>
      </c>
    </row>
    <row r="35" spans="1:3" x14ac:dyDescent="0.35">
      <c r="A35" t="s">
        <v>1986</v>
      </c>
      <c r="B35" s="15">
        <f t="shared" si="0"/>
        <v>45540</v>
      </c>
      <c r="C35">
        <v>75</v>
      </c>
    </row>
    <row r="36" spans="1:3" x14ac:dyDescent="0.35">
      <c r="A36" t="s">
        <v>1986</v>
      </c>
      <c r="B36" s="15">
        <f t="shared" si="0"/>
        <v>45542</v>
      </c>
      <c r="C36">
        <v>75</v>
      </c>
    </row>
    <row r="37" spans="1:3" x14ac:dyDescent="0.35">
      <c r="A37" t="s">
        <v>1986</v>
      </c>
      <c r="B37" s="15">
        <f t="shared" si="0"/>
        <v>45544</v>
      </c>
      <c r="C37">
        <v>75</v>
      </c>
    </row>
    <row r="38" spans="1:3" x14ac:dyDescent="0.35">
      <c r="A38" t="s">
        <v>1986</v>
      </c>
      <c r="B38" s="15">
        <f t="shared" si="0"/>
        <v>45546</v>
      </c>
      <c r="C38">
        <v>75</v>
      </c>
    </row>
    <row r="39" spans="1:3" x14ac:dyDescent="0.35">
      <c r="A39" t="s">
        <v>1986</v>
      </c>
      <c r="B39" s="15">
        <f t="shared" si="0"/>
        <v>45548</v>
      </c>
      <c r="C39">
        <v>75</v>
      </c>
    </row>
    <row r="40" spans="1:3" x14ac:dyDescent="0.35">
      <c r="A40" t="s">
        <v>1986</v>
      </c>
      <c r="B40" s="15">
        <f t="shared" si="0"/>
        <v>45550</v>
      </c>
      <c r="C40">
        <v>75</v>
      </c>
    </row>
    <row r="41" spans="1:3" x14ac:dyDescent="0.35">
      <c r="A41" t="s">
        <v>1986</v>
      </c>
      <c r="B41" s="15">
        <f t="shared" si="0"/>
        <v>45552</v>
      </c>
      <c r="C41">
        <v>75</v>
      </c>
    </row>
    <row r="42" spans="1:3" x14ac:dyDescent="0.35">
      <c r="A42" t="s">
        <v>1986</v>
      </c>
      <c r="B42" s="15">
        <f t="shared" si="0"/>
        <v>45554</v>
      </c>
      <c r="C42">
        <v>75</v>
      </c>
    </row>
    <row r="43" spans="1:3" x14ac:dyDescent="0.35">
      <c r="A43" t="s">
        <v>1986</v>
      </c>
      <c r="B43" s="15">
        <f t="shared" si="0"/>
        <v>45556</v>
      </c>
      <c r="C43">
        <v>75</v>
      </c>
    </row>
    <row r="44" spans="1:3" x14ac:dyDescent="0.35">
      <c r="A44" t="s">
        <v>1986</v>
      </c>
      <c r="B44" s="15">
        <f t="shared" si="0"/>
        <v>45558</v>
      </c>
      <c r="C44">
        <v>75</v>
      </c>
    </row>
    <row r="45" spans="1:3" x14ac:dyDescent="0.35">
      <c r="A45" t="s">
        <v>1986</v>
      </c>
      <c r="B45" s="15">
        <f t="shared" si="0"/>
        <v>45560</v>
      </c>
      <c r="C45">
        <v>75</v>
      </c>
    </row>
    <row r="46" spans="1:3" x14ac:dyDescent="0.35">
      <c r="A46" t="s">
        <v>1986</v>
      </c>
      <c r="B46" s="15">
        <f t="shared" si="0"/>
        <v>45562</v>
      </c>
      <c r="C46">
        <v>75</v>
      </c>
    </row>
    <row r="47" spans="1:3" x14ac:dyDescent="0.35">
      <c r="A47" t="s">
        <v>1986</v>
      </c>
      <c r="B47" s="15">
        <f t="shared" si="0"/>
        <v>45564</v>
      </c>
      <c r="C47">
        <v>75</v>
      </c>
    </row>
    <row r="48" spans="1:3" x14ac:dyDescent="0.35">
      <c r="A48" t="s">
        <v>1986</v>
      </c>
      <c r="B48" s="15">
        <f t="shared" si="0"/>
        <v>45566</v>
      </c>
      <c r="C48">
        <v>75</v>
      </c>
    </row>
    <row r="49" spans="1:3" x14ac:dyDescent="0.35">
      <c r="A49" t="s">
        <v>1986</v>
      </c>
      <c r="B49" s="15">
        <f t="shared" si="0"/>
        <v>45568</v>
      </c>
      <c r="C49">
        <v>75</v>
      </c>
    </row>
    <row r="50" spans="1:3" x14ac:dyDescent="0.35">
      <c r="A50" t="s">
        <v>1986</v>
      </c>
      <c r="B50" s="15">
        <f t="shared" si="0"/>
        <v>45570</v>
      </c>
      <c r="C50">
        <v>75</v>
      </c>
    </row>
    <row r="51" spans="1:3" x14ac:dyDescent="0.35">
      <c r="A51" t="s">
        <v>1986</v>
      </c>
      <c r="B51" s="15">
        <f t="shared" si="0"/>
        <v>45572</v>
      </c>
      <c r="C51">
        <v>75</v>
      </c>
    </row>
    <row r="52" spans="1:3" x14ac:dyDescent="0.35">
      <c r="A52" t="s">
        <v>1986</v>
      </c>
      <c r="B52" s="15">
        <f t="shared" si="0"/>
        <v>45574</v>
      </c>
      <c r="C52">
        <v>75</v>
      </c>
    </row>
    <row r="53" spans="1:3" x14ac:dyDescent="0.35">
      <c r="A53" t="s">
        <v>1986</v>
      </c>
      <c r="B53" s="15">
        <f t="shared" si="0"/>
        <v>45576</v>
      </c>
      <c r="C53">
        <v>75</v>
      </c>
    </row>
    <row r="54" spans="1:3" x14ac:dyDescent="0.35">
      <c r="A54" t="s">
        <v>1986</v>
      </c>
      <c r="B54" s="15">
        <f t="shared" si="0"/>
        <v>45578</v>
      </c>
      <c r="C54">
        <v>75</v>
      </c>
    </row>
    <row r="55" spans="1:3" x14ac:dyDescent="0.35">
      <c r="A55" t="s">
        <v>1986</v>
      </c>
      <c r="B55" s="15">
        <f t="shared" si="0"/>
        <v>45580</v>
      </c>
      <c r="C55">
        <v>75</v>
      </c>
    </row>
    <row r="56" spans="1:3" x14ac:dyDescent="0.35">
      <c r="A56" t="s">
        <v>1986</v>
      </c>
      <c r="B56" s="15">
        <f t="shared" si="0"/>
        <v>45582</v>
      </c>
      <c r="C56">
        <v>75</v>
      </c>
    </row>
    <row r="57" spans="1:3" x14ac:dyDescent="0.35">
      <c r="A57" t="s">
        <v>1986</v>
      </c>
      <c r="B57" s="15">
        <f t="shared" si="0"/>
        <v>45584</v>
      </c>
      <c r="C57">
        <v>75</v>
      </c>
    </row>
    <row r="58" spans="1:3" x14ac:dyDescent="0.35">
      <c r="A58" t="s">
        <v>1986</v>
      </c>
      <c r="B58" s="15">
        <f t="shared" si="0"/>
        <v>45586</v>
      </c>
      <c r="C58">
        <v>75</v>
      </c>
    </row>
    <row r="59" spans="1:3" x14ac:dyDescent="0.35">
      <c r="A59" t="s">
        <v>1986</v>
      </c>
      <c r="B59" s="15">
        <f t="shared" si="0"/>
        <v>45588</v>
      </c>
      <c r="C59">
        <v>75</v>
      </c>
    </row>
    <row r="60" spans="1:3" x14ac:dyDescent="0.35">
      <c r="A60" t="s">
        <v>1986</v>
      </c>
      <c r="B60" s="15">
        <f t="shared" si="0"/>
        <v>45590</v>
      </c>
      <c r="C60">
        <v>75</v>
      </c>
    </row>
    <row r="61" spans="1:3" x14ac:dyDescent="0.35">
      <c r="A61" t="s">
        <v>1986</v>
      </c>
      <c r="B61" s="15">
        <f t="shared" si="0"/>
        <v>45592</v>
      </c>
      <c r="C61">
        <v>75</v>
      </c>
    </row>
    <row r="62" spans="1:3" x14ac:dyDescent="0.35">
      <c r="A62" t="s">
        <v>1986</v>
      </c>
      <c r="B62" s="15">
        <f t="shared" si="0"/>
        <v>45594</v>
      </c>
      <c r="C62">
        <v>75</v>
      </c>
    </row>
    <row r="63" spans="1:3" x14ac:dyDescent="0.35">
      <c r="A63" t="s">
        <v>1986</v>
      </c>
      <c r="B63" s="15">
        <f t="shared" si="0"/>
        <v>45596</v>
      </c>
      <c r="C63">
        <v>75</v>
      </c>
    </row>
    <row r="64" spans="1:3" x14ac:dyDescent="0.35">
      <c r="A64" t="s">
        <v>1986</v>
      </c>
      <c r="B64" s="15">
        <f t="shared" si="0"/>
        <v>45598</v>
      </c>
      <c r="C64">
        <v>75</v>
      </c>
    </row>
    <row r="65" spans="1:3" x14ac:dyDescent="0.35">
      <c r="A65" t="s">
        <v>1986</v>
      </c>
      <c r="B65" s="15">
        <f t="shared" si="0"/>
        <v>45600</v>
      </c>
      <c r="C65">
        <v>75</v>
      </c>
    </row>
    <row r="66" spans="1:3" x14ac:dyDescent="0.35">
      <c r="A66" t="s">
        <v>1986</v>
      </c>
      <c r="B66" s="15">
        <f t="shared" si="0"/>
        <v>45602</v>
      </c>
      <c r="C66">
        <v>75</v>
      </c>
    </row>
    <row r="67" spans="1:3" x14ac:dyDescent="0.35">
      <c r="A67" t="s">
        <v>1986</v>
      </c>
      <c r="B67" s="15">
        <f t="shared" si="0"/>
        <v>45604</v>
      </c>
      <c r="C67">
        <v>75</v>
      </c>
    </row>
    <row r="68" spans="1:3" x14ac:dyDescent="0.35">
      <c r="A68" t="s">
        <v>1986</v>
      </c>
      <c r="B68" s="15">
        <f t="shared" si="0"/>
        <v>45606</v>
      </c>
      <c r="C68">
        <v>75</v>
      </c>
    </row>
    <row r="69" spans="1:3" x14ac:dyDescent="0.35">
      <c r="A69" t="s">
        <v>1986</v>
      </c>
      <c r="B69" s="15">
        <f t="shared" ref="B69:B94" si="1">B68+2</f>
        <v>45608</v>
      </c>
      <c r="C69">
        <v>75</v>
      </c>
    </row>
    <row r="70" spans="1:3" x14ac:dyDescent="0.35">
      <c r="A70" t="s">
        <v>1986</v>
      </c>
      <c r="B70" s="15">
        <f t="shared" si="1"/>
        <v>45610</v>
      </c>
      <c r="C70">
        <v>75</v>
      </c>
    </row>
    <row r="71" spans="1:3" x14ac:dyDescent="0.35">
      <c r="A71" t="s">
        <v>1986</v>
      </c>
      <c r="B71" s="15">
        <f t="shared" si="1"/>
        <v>45612</v>
      </c>
      <c r="C71">
        <v>75</v>
      </c>
    </row>
    <row r="72" spans="1:3" x14ac:dyDescent="0.35">
      <c r="A72" t="s">
        <v>1986</v>
      </c>
      <c r="B72" s="15">
        <f t="shared" si="1"/>
        <v>45614</v>
      </c>
      <c r="C72">
        <v>75</v>
      </c>
    </row>
    <row r="73" spans="1:3" x14ac:dyDescent="0.35">
      <c r="A73" t="s">
        <v>1986</v>
      </c>
      <c r="B73" s="15">
        <f t="shared" si="1"/>
        <v>45616</v>
      </c>
      <c r="C73">
        <v>75</v>
      </c>
    </row>
    <row r="74" spans="1:3" x14ac:dyDescent="0.35">
      <c r="A74" t="s">
        <v>1986</v>
      </c>
      <c r="B74" s="15">
        <f t="shared" si="1"/>
        <v>45618</v>
      </c>
      <c r="C74">
        <v>75</v>
      </c>
    </row>
    <row r="75" spans="1:3" x14ac:dyDescent="0.35">
      <c r="A75" t="s">
        <v>1986</v>
      </c>
      <c r="B75" s="15">
        <f t="shared" si="1"/>
        <v>45620</v>
      </c>
      <c r="C75">
        <v>75</v>
      </c>
    </row>
    <row r="76" spans="1:3" x14ac:dyDescent="0.35">
      <c r="A76" t="s">
        <v>1986</v>
      </c>
      <c r="B76" s="15">
        <f t="shared" si="1"/>
        <v>45622</v>
      </c>
      <c r="C76">
        <v>75</v>
      </c>
    </row>
    <row r="77" spans="1:3" x14ac:dyDescent="0.35">
      <c r="A77" t="s">
        <v>1986</v>
      </c>
      <c r="B77" s="15">
        <f t="shared" si="1"/>
        <v>45624</v>
      </c>
      <c r="C77">
        <v>75</v>
      </c>
    </row>
    <row r="78" spans="1:3" x14ac:dyDescent="0.35">
      <c r="A78" t="s">
        <v>1986</v>
      </c>
      <c r="B78" s="15">
        <f t="shared" si="1"/>
        <v>45626</v>
      </c>
      <c r="C78">
        <v>75</v>
      </c>
    </row>
    <row r="79" spans="1:3" x14ac:dyDescent="0.35">
      <c r="A79" t="s">
        <v>1986</v>
      </c>
      <c r="B79" s="15">
        <f t="shared" si="1"/>
        <v>45628</v>
      </c>
      <c r="C79">
        <v>75</v>
      </c>
    </row>
    <row r="80" spans="1:3" x14ac:dyDescent="0.35">
      <c r="A80" t="s">
        <v>1986</v>
      </c>
      <c r="B80" s="15">
        <f t="shared" si="1"/>
        <v>45630</v>
      </c>
      <c r="C80">
        <v>75</v>
      </c>
    </row>
    <row r="81" spans="1:3" x14ac:dyDescent="0.35">
      <c r="A81" t="s">
        <v>1986</v>
      </c>
      <c r="B81" s="15">
        <f t="shared" si="1"/>
        <v>45632</v>
      </c>
      <c r="C81">
        <v>75</v>
      </c>
    </row>
    <row r="82" spans="1:3" x14ac:dyDescent="0.35">
      <c r="A82" t="s">
        <v>1986</v>
      </c>
      <c r="B82" s="15">
        <f t="shared" si="1"/>
        <v>45634</v>
      </c>
      <c r="C82">
        <v>75</v>
      </c>
    </row>
    <row r="83" spans="1:3" x14ac:dyDescent="0.35">
      <c r="A83" t="s">
        <v>1986</v>
      </c>
      <c r="B83" s="15">
        <f t="shared" si="1"/>
        <v>45636</v>
      </c>
      <c r="C83">
        <v>75</v>
      </c>
    </row>
    <row r="84" spans="1:3" x14ac:dyDescent="0.35">
      <c r="A84" t="s">
        <v>1986</v>
      </c>
      <c r="B84" s="15">
        <f t="shared" si="1"/>
        <v>45638</v>
      </c>
      <c r="C84">
        <v>75</v>
      </c>
    </row>
    <row r="85" spans="1:3" x14ac:dyDescent="0.35">
      <c r="A85" t="s">
        <v>1986</v>
      </c>
      <c r="B85" s="15">
        <f t="shared" si="1"/>
        <v>45640</v>
      </c>
      <c r="C85">
        <v>75</v>
      </c>
    </row>
    <row r="86" spans="1:3" x14ac:dyDescent="0.35">
      <c r="A86" t="s">
        <v>1986</v>
      </c>
      <c r="B86" s="15">
        <f t="shared" si="1"/>
        <v>45642</v>
      </c>
      <c r="C86">
        <v>75</v>
      </c>
    </row>
    <row r="87" spans="1:3" x14ac:dyDescent="0.35">
      <c r="A87" t="s">
        <v>1986</v>
      </c>
      <c r="B87" s="15">
        <f t="shared" si="1"/>
        <v>45644</v>
      </c>
      <c r="C87">
        <v>75</v>
      </c>
    </row>
    <row r="88" spans="1:3" x14ac:dyDescent="0.35">
      <c r="A88" t="s">
        <v>1986</v>
      </c>
      <c r="B88" s="15">
        <f t="shared" si="1"/>
        <v>45646</v>
      </c>
      <c r="C88">
        <v>75</v>
      </c>
    </row>
    <row r="89" spans="1:3" x14ac:dyDescent="0.35">
      <c r="A89" t="s">
        <v>1986</v>
      </c>
      <c r="B89" s="15">
        <f t="shared" si="1"/>
        <v>45648</v>
      </c>
      <c r="C89">
        <v>75</v>
      </c>
    </row>
    <row r="90" spans="1:3" x14ac:dyDescent="0.35">
      <c r="A90" t="s">
        <v>1986</v>
      </c>
      <c r="B90" s="15">
        <f t="shared" si="1"/>
        <v>45650</v>
      </c>
      <c r="C90">
        <v>75</v>
      </c>
    </row>
    <row r="91" spans="1:3" x14ac:dyDescent="0.35">
      <c r="A91" t="s">
        <v>1986</v>
      </c>
      <c r="B91" s="15">
        <f t="shared" si="1"/>
        <v>45652</v>
      </c>
      <c r="C91">
        <v>75</v>
      </c>
    </row>
    <row r="92" spans="1:3" x14ac:dyDescent="0.35">
      <c r="A92" t="s">
        <v>1986</v>
      </c>
      <c r="B92" s="15">
        <f t="shared" si="1"/>
        <v>45654</v>
      </c>
      <c r="C92">
        <v>75</v>
      </c>
    </row>
    <row r="93" spans="1:3" x14ac:dyDescent="0.35">
      <c r="A93" t="s">
        <v>1986</v>
      </c>
      <c r="B93" s="15">
        <f t="shared" si="1"/>
        <v>45656</v>
      </c>
      <c r="C93">
        <v>75</v>
      </c>
    </row>
    <row r="94" spans="1:3" x14ac:dyDescent="0.35">
      <c r="A94" t="s">
        <v>1986</v>
      </c>
      <c r="B94" s="15">
        <f t="shared" si="1"/>
        <v>45658</v>
      </c>
      <c r="C94" s="18">
        <v>450</v>
      </c>
    </row>
    <row r="95" spans="1:3" x14ac:dyDescent="0.35">
      <c r="A95" t="s">
        <v>1986</v>
      </c>
      <c r="B95" s="15">
        <f>B94+7</f>
        <v>45665</v>
      </c>
      <c r="C95" s="18">
        <v>450</v>
      </c>
    </row>
    <row r="96" spans="1:3" x14ac:dyDescent="0.35">
      <c r="A96" t="s">
        <v>1986</v>
      </c>
      <c r="B96" s="15">
        <f t="shared" ref="B96:B159" si="2">B95+7</f>
        <v>45672</v>
      </c>
      <c r="C96" s="18">
        <v>450</v>
      </c>
    </row>
    <row r="97" spans="1:3" x14ac:dyDescent="0.35">
      <c r="A97" t="s">
        <v>1986</v>
      </c>
      <c r="B97" s="15">
        <f t="shared" si="2"/>
        <v>45679</v>
      </c>
      <c r="C97" s="18">
        <v>450</v>
      </c>
    </row>
    <row r="98" spans="1:3" x14ac:dyDescent="0.35">
      <c r="A98" t="s">
        <v>1986</v>
      </c>
      <c r="B98" s="15">
        <f t="shared" si="2"/>
        <v>45686</v>
      </c>
      <c r="C98" s="18">
        <v>450</v>
      </c>
    </row>
    <row r="99" spans="1:3" x14ac:dyDescent="0.35">
      <c r="A99" t="s">
        <v>1986</v>
      </c>
      <c r="B99" s="15">
        <f t="shared" si="2"/>
        <v>45693</v>
      </c>
      <c r="C99" s="18">
        <v>450</v>
      </c>
    </row>
    <row r="100" spans="1:3" x14ac:dyDescent="0.35">
      <c r="A100" t="s">
        <v>1986</v>
      </c>
      <c r="B100" s="15">
        <f t="shared" si="2"/>
        <v>45700</v>
      </c>
      <c r="C100" s="18">
        <v>450</v>
      </c>
    </row>
    <row r="101" spans="1:3" x14ac:dyDescent="0.35">
      <c r="A101" t="s">
        <v>1986</v>
      </c>
      <c r="B101" s="15">
        <f t="shared" si="2"/>
        <v>45707</v>
      </c>
      <c r="C101" s="18">
        <v>450</v>
      </c>
    </row>
    <row r="102" spans="1:3" x14ac:dyDescent="0.35">
      <c r="A102" t="s">
        <v>1986</v>
      </c>
      <c r="B102" s="15">
        <f t="shared" si="2"/>
        <v>45714</v>
      </c>
      <c r="C102" s="18">
        <v>450</v>
      </c>
    </row>
    <row r="103" spans="1:3" x14ac:dyDescent="0.35">
      <c r="A103" t="s">
        <v>1986</v>
      </c>
      <c r="B103" s="15">
        <f t="shared" si="2"/>
        <v>45721</v>
      </c>
      <c r="C103" s="18">
        <v>450</v>
      </c>
    </row>
    <row r="104" spans="1:3" x14ac:dyDescent="0.35">
      <c r="A104" t="s">
        <v>1986</v>
      </c>
      <c r="B104" s="15">
        <f t="shared" si="2"/>
        <v>45728</v>
      </c>
      <c r="C104" s="18">
        <v>450</v>
      </c>
    </row>
    <row r="105" spans="1:3" x14ac:dyDescent="0.35">
      <c r="A105" t="s">
        <v>1986</v>
      </c>
      <c r="B105" s="15">
        <f t="shared" si="2"/>
        <v>45735</v>
      </c>
      <c r="C105" s="18">
        <v>450</v>
      </c>
    </row>
    <row r="106" spans="1:3" x14ac:dyDescent="0.35">
      <c r="A106" t="s">
        <v>1986</v>
      </c>
      <c r="B106" s="15">
        <f t="shared" si="2"/>
        <v>45742</v>
      </c>
      <c r="C106" s="18">
        <v>450</v>
      </c>
    </row>
    <row r="107" spans="1:3" x14ac:dyDescent="0.35">
      <c r="A107" t="s">
        <v>1986</v>
      </c>
      <c r="B107" s="15">
        <f t="shared" si="2"/>
        <v>45749</v>
      </c>
      <c r="C107" s="18">
        <v>450</v>
      </c>
    </row>
    <row r="108" spans="1:3" x14ac:dyDescent="0.35">
      <c r="A108" t="s">
        <v>1986</v>
      </c>
      <c r="B108" s="15">
        <f t="shared" si="2"/>
        <v>45756</v>
      </c>
      <c r="C108" s="18">
        <v>450</v>
      </c>
    </row>
    <row r="109" spans="1:3" x14ac:dyDescent="0.35">
      <c r="A109" t="s">
        <v>1986</v>
      </c>
      <c r="B109" s="15">
        <f t="shared" si="2"/>
        <v>45763</v>
      </c>
      <c r="C109" s="18">
        <v>450</v>
      </c>
    </row>
    <row r="110" spans="1:3" x14ac:dyDescent="0.35">
      <c r="A110" t="s">
        <v>1986</v>
      </c>
      <c r="B110" s="15">
        <f t="shared" si="2"/>
        <v>45770</v>
      </c>
      <c r="C110" s="18">
        <v>450</v>
      </c>
    </row>
    <row r="111" spans="1:3" x14ac:dyDescent="0.35">
      <c r="A111" t="s">
        <v>1986</v>
      </c>
      <c r="B111" s="15">
        <f t="shared" si="2"/>
        <v>45777</v>
      </c>
      <c r="C111" s="18">
        <v>450</v>
      </c>
    </row>
    <row r="112" spans="1:3" x14ac:dyDescent="0.35">
      <c r="A112" t="s">
        <v>1986</v>
      </c>
      <c r="B112" s="15">
        <f t="shared" si="2"/>
        <v>45784</v>
      </c>
      <c r="C112" s="18">
        <v>450</v>
      </c>
    </row>
    <row r="113" spans="1:3" x14ac:dyDescent="0.35">
      <c r="A113" t="s">
        <v>1986</v>
      </c>
      <c r="B113" s="15">
        <f t="shared" si="2"/>
        <v>45791</v>
      </c>
      <c r="C113" s="18">
        <v>450</v>
      </c>
    </row>
    <row r="114" spans="1:3" x14ac:dyDescent="0.35">
      <c r="A114" t="s">
        <v>1986</v>
      </c>
      <c r="B114" s="15">
        <f t="shared" si="2"/>
        <v>45798</v>
      </c>
      <c r="C114" s="18">
        <v>450</v>
      </c>
    </row>
    <row r="115" spans="1:3" x14ac:dyDescent="0.35">
      <c r="A115" t="s">
        <v>1986</v>
      </c>
      <c r="B115" s="15">
        <f t="shared" si="2"/>
        <v>45805</v>
      </c>
      <c r="C115" s="18">
        <v>450</v>
      </c>
    </row>
    <row r="116" spans="1:3" x14ac:dyDescent="0.35">
      <c r="A116" t="s">
        <v>1986</v>
      </c>
      <c r="B116" s="15">
        <f t="shared" si="2"/>
        <v>45812</v>
      </c>
      <c r="C116" s="18">
        <v>450</v>
      </c>
    </row>
    <row r="117" spans="1:3" x14ac:dyDescent="0.35">
      <c r="A117" t="s">
        <v>1986</v>
      </c>
      <c r="B117" s="15">
        <f t="shared" si="2"/>
        <v>45819</v>
      </c>
      <c r="C117" s="18">
        <v>450</v>
      </c>
    </row>
    <row r="118" spans="1:3" x14ac:dyDescent="0.35">
      <c r="A118" t="s">
        <v>1986</v>
      </c>
      <c r="B118" s="15">
        <f t="shared" si="2"/>
        <v>45826</v>
      </c>
      <c r="C118" s="18">
        <v>450</v>
      </c>
    </row>
    <row r="119" spans="1:3" x14ac:dyDescent="0.35">
      <c r="A119" t="s">
        <v>1986</v>
      </c>
      <c r="B119" s="15">
        <f t="shared" si="2"/>
        <v>45833</v>
      </c>
      <c r="C119" s="18">
        <v>450</v>
      </c>
    </row>
    <row r="120" spans="1:3" x14ac:dyDescent="0.35">
      <c r="A120" t="s">
        <v>1986</v>
      </c>
      <c r="B120" s="15">
        <f t="shared" si="2"/>
        <v>45840</v>
      </c>
      <c r="C120" s="18">
        <v>450</v>
      </c>
    </row>
    <row r="121" spans="1:3" x14ac:dyDescent="0.35">
      <c r="A121" t="s">
        <v>1986</v>
      </c>
      <c r="B121" s="15">
        <f t="shared" si="2"/>
        <v>45847</v>
      </c>
      <c r="C121" s="18">
        <v>450</v>
      </c>
    </row>
    <row r="122" spans="1:3" x14ac:dyDescent="0.35">
      <c r="A122" t="s">
        <v>1986</v>
      </c>
      <c r="B122" s="15">
        <f t="shared" si="2"/>
        <v>45854</v>
      </c>
      <c r="C122" s="18">
        <v>450</v>
      </c>
    </row>
    <row r="123" spans="1:3" x14ac:dyDescent="0.35">
      <c r="A123" t="s">
        <v>1986</v>
      </c>
      <c r="B123" s="15">
        <f t="shared" si="2"/>
        <v>45861</v>
      </c>
      <c r="C123" s="18">
        <v>450</v>
      </c>
    </row>
    <row r="124" spans="1:3" x14ac:dyDescent="0.35">
      <c r="A124" t="s">
        <v>1986</v>
      </c>
      <c r="B124" s="15">
        <f t="shared" si="2"/>
        <v>45868</v>
      </c>
      <c r="C124" s="18">
        <v>450</v>
      </c>
    </row>
    <row r="125" spans="1:3" x14ac:dyDescent="0.35">
      <c r="A125" t="s">
        <v>1986</v>
      </c>
      <c r="B125" s="15">
        <f t="shared" si="2"/>
        <v>45875</v>
      </c>
      <c r="C125" s="18">
        <v>450</v>
      </c>
    </row>
    <row r="126" spans="1:3" x14ac:dyDescent="0.35">
      <c r="A126" t="s">
        <v>1986</v>
      </c>
      <c r="B126" s="15">
        <f t="shared" si="2"/>
        <v>45882</v>
      </c>
      <c r="C126" s="18">
        <v>450</v>
      </c>
    </row>
    <row r="127" spans="1:3" x14ac:dyDescent="0.35">
      <c r="A127" t="s">
        <v>1986</v>
      </c>
      <c r="B127" s="15">
        <f t="shared" si="2"/>
        <v>45889</v>
      </c>
      <c r="C127" s="18">
        <v>450</v>
      </c>
    </row>
    <row r="128" spans="1:3" x14ac:dyDescent="0.35">
      <c r="A128" t="s">
        <v>1986</v>
      </c>
      <c r="B128" s="15">
        <f t="shared" si="2"/>
        <v>45896</v>
      </c>
      <c r="C128" s="18">
        <v>450</v>
      </c>
    </row>
    <row r="129" spans="1:3" x14ac:dyDescent="0.35">
      <c r="A129" t="s">
        <v>1986</v>
      </c>
      <c r="B129" s="15">
        <f t="shared" si="2"/>
        <v>45903</v>
      </c>
      <c r="C129" s="18">
        <v>450</v>
      </c>
    </row>
    <row r="130" spans="1:3" x14ac:dyDescent="0.35">
      <c r="A130" t="s">
        <v>1986</v>
      </c>
      <c r="B130" s="15">
        <f t="shared" si="2"/>
        <v>45910</v>
      </c>
      <c r="C130" s="18">
        <v>450</v>
      </c>
    </row>
    <row r="131" spans="1:3" x14ac:dyDescent="0.35">
      <c r="A131" t="s">
        <v>1986</v>
      </c>
      <c r="B131" s="15">
        <f t="shared" si="2"/>
        <v>45917</v>
      </c>
      <c r="C131" s="18">
        <v>450</v>
      </c>
    </row>
    <row r="132" spans="1:3" x14ac:dyDescent="0.35">
      <c r="A132" t="s">
        <v>1986</v>
      </c>
      <c r="B132" s="15">
        <f t="shared" si="2"/>
        <v>45924</v>
      </c>
      <c r="C132" s="18">
        <v>450</v>
      </c>
    </row>
    <row r="133" spans="1:3" x14ac:dyDescent="0.35">
      <c r="A133" t="s">
        <v>1986</v>
      </c>
      <c r="B133" s="15">
        <f t="shared" si="2"/>
        <v>45931</v>
      </c>
      <c r="C133" s="18">
        <v>450</v>
      </c>
    </row>
    <row r="134" spans="1:3" x14ac:dyDescent="0.35">
      <c r="A134" t="s">
        <v>1986</v>
      </c>
      <c r="B134" s="15">
        <f t="shared" si="2"/>
        <v>45938</v>
      </c>
      <c r="C134" s="18">
        <v>450</v>
      </c>
    </row>
    <row r="135" spans="1:3" x14ac:dyDescent="0.35">
      <c r="A135" t="s">
        <v>1986</v>
      </c>
      <c r="B135" s="15">
        <f t="shared" si="2"/>
        <v>45945</v>
      </c>
      <c r="C135" s="18">
        <v>450</v>
      </c>
    </row>
    <row r="136" spans="1:3" x14ac:dyDescent="0.35">
      <c r="A136" t="s">
        <v>1986</v>
      </c>
      <c r="B136" s="15">
        <f t="shared" si="2"/>
        <v>45952</v>
      </c>
      <c r="C136" s="18">
        <v>450</v>
      </c>
    </row>
    <row r="137" spans="1:3" x14ac:dyDescent="0.35">
      <c r="A137" t="s">
        <v>1986</v>
      </c>
      <c r="B137" s="15">
        <f t="shared" si="2"/>
        <v>45959</v>
      </c>
      <c r="C137" s="18">
        <v>450</v>
      </c>
    </row>
    <row r="138" spans="1:3" x14ac:dyDescent="0.35">
      <c r="A138" t="s">
        <v>1986</v>
      </c>
      <c r="B138" s="15">
        <f t="shared" si="2"/>
        <v>45966</v>
      </c>
      <c r="C138" s="18">
        <v>450</v>
      </c>
    </row>
    <row r="139" spans="1:3" x14ac:dyDescent="0.35">
      <c r="A139" t="s">
        <v>1986</v>
      </c>
      <c r="B139" s="15">
        <f t="shared" si="2"/>
        <v>45973</v>
      </c>
      <c r="C139" s="18">
        <v>450</v>
      </c>
    </row>
    <row r="140" spans="1:3" x14ac:dyDescent="0.35">
      <c r="A140" t="s">
        <v>1986</v>
      </c>
      <c r="B140" s="15">
        <f t="shared" si="2"/>
        <v>45980</v>
      </c>
      <c r="C140" s="18">
        <v>450</v>
      </c>
    </row>
    <row r="141" spans="1:3" x14ac:dyDescent="0.35">
      <c r="A141" t="s">
        <v>1986</v>
      </c>
      <c r="B141" s="15">
        <f t="shared" si="2"/>
        <v>45987</v>
      </c>
      <c r="C141" s="18">
        <v>450</v>
      </c>
    </row>
    <row r="142" spans="1:3" x14ac:dyDescent="0.35">
      <c r="A142" t="s">
        <v>1986</v>
      </c>
      <c r="B142" s="15">
        <f t="shared" si="2"/>
        <v>45994</v>
      </c>
      <c r="C142" s="18">
        <v>450</v>
      </c>
    </row>
    <row r="143" spans="1:3" x14ac:dyDescent="0.35">
      <c r="A143" t="s">
        <v>1986</v>
      </c>
      <c r="B143" s="15">
        <f t="shared" si="2"/>
        <v>46001</v>
      </c>
      <c r="C143" s="18">
        <v>450</v>
      </c>
    </row>
    <row r="144" spans="1:3" x14ac:dyDescent="0.35">
      <c r="A144" t="s">
        <v>1986</v>
      </c>
      <c r="B144" s="15">
        <f t="shared" si="2"/>
        <v>46008</v>
      </c>
      <c r="C144" s="18">
        <v>450</v>
      </c>
    </row>
    <row r="145" spans="1:3" x14ac:dyDescent="0.35">
      <c r="A145" t="s">
        <v>1986</v>
      </c>
      <c r="B145" s="15">
        <f t="shared" si="2"/>
        <v>46015</v>
      </c>
      <c r="C145" s="18">
        <v>450</v>
      </c>
    </row>
    <row r="146" spans="1:3" x14ac:dyDescent="0.35">
      <c r="A146" t="s">
        <v>1986</v>
      </c>
      <c r="B146" s="15">
        <f t="shared" si="2"/>
        <v>46022</v>
      </c>
      <c r="C146" s="18">
        <v>450</v>
      </c>
    </row>
    <row r="147" spans="1:3" x14ac:dyDescent="0.35">
      <c r="A147" t="s">
        <v>1986</v>
      </c>
      <c r="B147" s="15">
        <f t="shared" si="2"/>
        <v>46029</v>
      </c>
      <c r="C147" s="18">
        <v>450</v>
      </c>
    </row>
    <row r="148" spans="1:3" x14ac:dyDescent="0.35">
      <c r="A148" t="s">
        <v>1986</v>
      </c>
      <c r="B148" s="15">
        <f t="shared" si="2"/>
        <v>46036</v>
      </c>
      <c r="C148" s="18">
        <v>450</v>
      </c>
    </row>
    <row r="149" spans="1:3" x14ac:dyDescent="0.35">
      <c r="A149" t="s">
        <v>1986</v>
      </c>
      <c r="B149" s="15">
        <f t="shared" si="2"/>
        <v>46043</v>
      </c>
      <c r="C149" s="18">
        <v>450</v>
      </c>
    </row>
    <row r="150" spans="1:3" x14ac:dyDescent="0.35">
      <c r="A150" t="s">
        <v>1986</v>
      </c>
      <c r="B150" s="15">
        <f t="shared" si="2"/>
        <v>46050</v>
      </c>
      <c r="C150" s="18">
        <v>450</v>
      </c>
    </row>
    <row r="151" spans="1:3" x14ac:dyDescent="0.35">
      <c r="A151" t="s">
        <v>1986</v>
      </c>
      <c r="B151" s="15">
        <f t="shared" si="2"/>
        <v>46057</v>
      </c>
      <c r="C151" s="18">
        <v>450</v>
      </c>
    </row>
    <row r="152" spans="1:3" x14ac:dyDescent="0.35">
      <c r="A152" t="s">
        <v>1986</v>
      </c>
      <c r="B152" s="15">
        <f t="shared" si="2"/>
        <v>46064</v>
      </c>
      <c r="C152" s="18">
        <v>450</v>
      </c>
    </row>
    <row r="153" spans="1:3" x14ac:dyDescent="0.35">
      <c r="A153" t="s">
        <v>1986</v>
      </c>
      <c r="B153" s="15">
        <f t="shared" si="2"/>
        <v>46071</v>
      </c>
      <c r="C153" s="18">
        <v>450</v>
      </c>
    </row>
    <row r="154" spans="1:3" x14ac:dyDescent="0.35">
      <c r="A154" t="s">
        <v>1986</v>
      </c>
      <c r="B154" s="15">
        <f t="shared" si="2"/>
        <v>46078</v>
      </c>
      <c r="C154" s="18">
        <v>450</v>
      </c>
    </row>
    <row r="155" spans="1:3" x14ac:dyDescent="0.35">
      <c r="A155" t="s">
        <v>1986</v>
      </c>
      <c r="B155" s="15">
        <f t="shared" si="2"/>
        <v>46085</v>
      </c>
      <c r="C155" s="18">
        <v>450</v>
      </c>
    </row>
    <row r="156" spans="1:3" x14ac:dyDescent="0.35">
      <c r="A156" t="s">
        <v>1986</v>
      </c>
      <c r="B156" s="15">
        <f t="shared" si="2"/>
        <v>46092</v>
      </c>
      <c r="C156" s="18">
        <v>450</v>
      </c>
    </row>
    <row r="157" spans="1:3" x14ac:dyDescent="0.35">
      <c r="A157" t="s">
        <v>1986</v>
      </c>
      <c r="B157" s="15">
        <f t="shared" si="2"/>
        <v>46099</v>
      </c>
      <c r="C157" s="18">
        <v>450</v>
      </c>
    </row>
    <row r="158" spans="1:3" x14ac:dyDescent="0.35">
      <c r="A158" t="s">
        <v>1986</v>
      </c>
      <c r="B158" s="15">
        <f t="shared" si="2"/>
        <v>46106</v>
      </c>
      <c r="C158" s="18">
        <v>450</v>
      </c>
    </row>
    <row r="159" spans="1:3" x14ac:dyDescent="0.35">
      <c r="A159" t="s">
        <v>1986</v>
      </c>
      <c r="B159" s="15">
        <f t="shared" si="2"/>
        <v>46113</v>
      </c>
      <c r="C159" s="18">
        <v>450</v>
      </c>
    </row>
    <row r="160" spans="1:3" x14ac:dyDescent="0.35">
      <c r="A160" t="s">
        <v>1986</v>
      </c>
      <c r="B160" s="15">
        <f t="shared" ref="B160:B223" si="3">B159+7</f>
        <v>46120</v>
      </c>
      <c r="C160" s="18">
        <v>450</v>
      </c>
    </row>
    <row r="161" spans="1:3" x14ac:dyDescent="0.35">
      <c r="A161" t="s">
        <v>1986</v>
      </c>
      <c r="B161" s="15">
        <f t="shared" si="3"/>
        <v>46127</v>
      </c>
      <c r="C161" s="18">
        <v>450</v>
      </c>
    </row>
    <row r="162" spans="1:3" x14ac:dyDescent="0.35">
      <c r="A162" t="s">
        <v>1986</v>
      </c>
      <c r="B162" s="15">
        <f t="shared" si="3"/>
        <v>46134</v>
      </c>
      <c r="C162" s="18">
        <v>450</v>
      </c>
    </row>
    <row r="163" spans="1:3" x14ac:dyDescent="0.35">
      <c r="A163" t="s">
        <v>1986</v>
      </c>
      <c r="B163" s="15">
        <f t="shared" si="3"/>
        <v>46141</v>
      </c>
      <c r="C163" s="18">
        <v>450</v>
      </c>
    </row>
    <row r="164" spans="1:3" x14ac:dyDescent="0.35">
      <c r="A164" t="s">
        <v>1986</v>
      </c>
      <c r="B164" s="15">
        <f t="shared" si="3"/>
        <v>46148</v>
      </c>
      <c r="C164" s="18">
        <v>450</v>
      </c>
    </row>
    <row r="165" spans="1:3" x14ac:dyDescent="0.35">
      <c r="A165" t="s">
        <v>1986</v>
      </c>
      <c r="B165" s="15">
        <f t="shared" si="3"/>
        <v>46155</v>
      </c>
      <c r="C165" s="18">
        <v>450</v>
      </c>
    </row>
    <row r="166" spans="1:3" x14ac:dyDescent="0.35">
      <c r="A166" t="s">
        <v>1986</v>
      </c>
      <c r="B166" s="15">
        <f t="shared" si="3"/>
        <v>46162</v>
      </c>
      <c r="C166" s="18">
        <v>450</v>
      </c>
    </row>
    <row r="167" spans="1:3" x14ac:dyDescent="0.35">
      <c r="A167" t="s">
        <v>1986</v>
      </c>
      <c r="B167" s="15">
        <f t="shared" si="3"/>
        <v>46169</v>
      </c>
      <c r="C167" s="18">
        <v>450</v>
      </c>
    </row>
    <row r="168" spans="1:3" x14ac:dyDescent="0.35">
      <c r="A168" t="s">
        <v>1986</v>
      </c>
      <c r="B168" s="15">
        <f t="shared" si="3"/>
        <v>46176</v>
      </c>
      <c r="C168" s="18">
        <v>450</v>
      </c>
    </row>
    <row r="169" spans="1:3" x14ac:dyDescent="0.35">
      <c r="A169" t="s">
        <v>1986</v>
      </c>
      <c r="B169" s="15">
        <f t="shared" si="3"/>
        <v>46183</v>
      </c>
      <c r="C169" s="18">
        <v>450</v>
      </c>
    </row>
    <row r="170" spans="1:3" x14ac:dyDescent="0.35">
      <c r="A170" t="s">
        <v>1986</v>
      </c>
      <c r="B170" s="15">
        <f t="shared" si="3"/>
        <v>46190</v>
      </c>
      <c r="C170" s="18">
        <v>450</v>
      </c>
    </row>
    <row r="171" spans="1:3" x14ac:dyDescent="0.35">
      <c r="A171" t="s">
        <v>1986</v>
      </c>
      <c r="B171" s="15">
        <f t="shared" si="3"/>
        <v>46197</v>
      </c>
      <c r="C171" s="18">
        <v>450</v>
      </c>
    </row>
    <row r="172" spans="1:3" x14ac:dyDescent="0.35">
      <c r="A172" t="s">
        <v>1986</v>
      </c>
      <c r="B172" s="15">
        <f t="shared" si="3"/>
        <v>46204</v>
      </c>
      <c r="C172" s="18">
        <v>450</v>
      </c>
    </row>
    <row r="173" spans="1:3" x14ac:dyDescent="0.35">
      <c r="A173" t="s">
        <v>1986</v>
      </c>
      <c r="B173" s="15">
        <f t="shared" si="3"/>
        <v>46211</v>
      </c>
      <c r="C173" s="18">
        <v>450</v>
      </c>
    </row>
    <row r="174" spans="1:3" x14ac:dyDescent="0.35">
      <c r="A174" t="s">
        <v>1986</v>
      </c>
      <c r="B174" s="15">
        <f t="shared" si="3"/>
        <v>46218</v>
      </c>
      <c r="C174" s="18">
        <v>450</v>
      </c>
    </row>
    <row r="175" spans="1:3" x14ac:dyDescent="0.35">
      <c r="A175" t="s">
        <v>1986</v>
      </c>
      <c r="B175" s="15">
        <f t="shared" si="3"/>
        <v>46225</v>
      </c>
      <c r="C175" s="18">
        <v>450</v>
      </c>
    </row>
    <row r="176" spans="1:3" x14ac:dyDescent="0.35">
      <c r="A176" t="s">
        <v>1986</v>
      </c>
      <c r="B176" s="15">
        <f t="shared" si="3"/>
        <v>46232</v>
      </c>
      <c r="C176" s="18">
        <v>450</v>
      </c>
    </row>
    <row r="177" spans="1:3" x14ac:dyDescent="0.35">
      <c r="A177" t="s">
        <v>1986</v>
      </c>
      <c r="B177" s="15">
        <f t="shared" si="3"/>
        <v>46239</v>
      </c>
      <c r="C177" s="18">
        <v>450</v>
      </c>
    </row>
    <row r="178" spans="1:3" x14ac:dyDescent="0.35">
      <c r="A178" t="s">
        <v>1986</v>
      </c>
      <c r="B178" s="15">
        <f t="shared" si="3"/>
        <v>46246</v>
      </c>
      <c r="C178" s="18">
        <v>450</v>
      </c>
    </row>
    <row r="179" spans="1:3" x14ac:dyDescent="0.35">
      <c r="A179" t="s">
        <v>1986</v>
      </c>
      <c r="B179" s="15">
        <f t="shared" si="3"/>
        <v>46253</v>
      </c>
      <c r="C179" s="18">
        <v>450</v>
      </c>
    </row>
    <row r="180" spans="1:3" x14ac:dyDescent="0.35">
      <c r="A180" t="s">
        <v>1986</v>
      </c>
      <c r="B180" s="15">
        <f t="shared" si="3"/>
        <v>46260</v>
      </c>
      <c r="C180" s="18">
        <v>450</v>
      </c>
    </row>
    <row r="181" spans="1:3" x14ac:dyDescent="0.35">
      <c r="A181" t="s">
        <v>1986</v>
      </c>
      <c r="B181" s="15">
        <f t="shared" si="3"/>
        <v>46267</v>
      </c>
      <c r="C181" s="18">
        <v>450</v>
      </c>
    </row>
    <row r="182" spans="1:3" x14ac:dyDescent="0.35">
      <c r="A182" t="s">
        <v>1986</v>
      </c>
      <c r="B182" s="15">
        <f t="shared" si="3"/>
        <v>46274</v>
      </c>
      <c r="C182" s="18">
        <v>450</v>
      </c>
    </row>
    <row r="183" spans="1:3" x14ac:dyDescent="0.35">
      <c r="A183" t="s">
        <v>1986</v>
      </c>
      <c r="B183" s="15">
        <f t="shared" si="3"/>
        <v>46281</v>
      </c>
      <c r="C183" s="18">
        <v>450</v>
      </c>
    </row>
    <row r="184" spans="1:3" x14ac:dyDescent="0.35">
      <c r="A184" t="s">
        <v>1986</v>
      </c>
      <c r="B184" s="15">
        <f t="shared" si="3"/>
        <v>46288</v>
      </c>
      <c r="C184" s="18">
        <v>450</v>
      </c>
    </row>
    <row r="185" spans="1:3" x14ac:dyDescent="0.35">
      <c r="A185" t="s">
        <v>1986</v>
      </c>
      <c r="B185" s="15">
        <f t="shared" si="3"/>
        <v>46295</v>
      </c>
      <c r="C185" s="18">
        <v>450</v>
      </c>
    </row>
    <row r="186" spans="1:3" x14ac:dyDescent="0.35">
      <c r="A186" t="s">
        <v>1986</v>
      </c>
      <c r="B186" s="15">
        <f t="shared" si="3"/>
        <v>46302</v>
      </c>
      <c r="C186" s="18">
        <v>450</v>
      </c>
    </row>
    <row r="187" spans="1:3" x14ac:dyDescent="0.35">
      <c r="A187" t="s">
        <v>1986</v>
      </c>
      <c r="B187" s="15">
        <f t="shared" si="3"/>
        <v>46309</v>
      </c>
      <c r="C187" s="18">
        <v>450</v>
      </c>
    </row>
    <row r="188" spans="1:3" x14ac:dyDescent="0.35">
      <c r="A188" t="s">
        <v>1986</v>
      </c>
      <c r="B188" s="15">
        <f t="shared" si="3"/>
        <v>46316</v>
      </c>
      <c r="C188" s="18">
        <v>450</v>
      </c>
    </row>
    <row r="189" spans="1:3" x14ac:dyDescent="0.35">
      <c r="A189" t="s">
        <v>1986</v>
      </c>
      <c r="B189" s="15">
        <f t="shared" si="3"/>
        <v>46323</v>
      </c>
      <c r="C189" s="18">
        <v>450</v>
      </c>
    </row>
    <row r="190" spans="1:3" x14ac:dyDescent="0.35">
      <c r="A190" t="s">
        <v>1986</v>
      </c>
      <c r="B190" s="15">
        <f t="shared" si="3"/>
        <v>46330</v>
      </c>
      <c r="C190" s="18">
        <v>450</v>
      </c>
    </row>
    <row r="191" spans="1:3" x14ac:dyDescent="0.35">
      <c r="A191" t="s">
        <v>1986</v>
      </c>
      <c r="B191" s="15">
        <f t="shared" si="3"/>
        <v>46337</v>
      </c>
      <c r="C191" s="18">
        <v>450</v>
      </c>
    </row>
    <row r="192" spans="1:3" x14ac:dyDescent="0.35">
      <c r="A192" t="s">
        <v>1986</v>
      </c>
      <c r="B192" s="15">
        <f t="shared" si="3"/>
        <v>46344</v>
      </c>
      <c r="C192" s="18">
        <v>450</v>
      </c>
    </row>
    <row r="193" spans="1:3" x14ac:dyDescent="0.35">
      <c r="A193" t="s">
        <v>1986</v>
      </c>
      <c r="B193" s="15">
        <f t="shared" si="3"/>
        <v>46351</v>
      </c>
      <c r="C193" s="18">
        <v>450</v>
      </c>
    </row>
    <row r="194" spans="1:3" x14ac:dyDescent="0.35">
      <c r="A194" t="s">
        <v>1986</v>
      </c>
      <c r="B194" s="15">
        <f t="shared" si="3"/>
        <v>46358</v>
      </c>
      <c r="C194" s="18">
        <v>450</v>
      </c>
    </row>
    <row r="195" spans="1:3" x14ac:dyDescent="0.35">
      <c r="A195" t="s">
        <v>1986</v>
      </c>
      <c r="B195" s="15">
        <f t="shared" si="3"/>
        <v>46365</v>
      </c>
      <c r="C195" s="18">
        <v>450</v>
      </c>
    </row>
    <row r="196" spans="1:3" x14ac:dyDescent="0.35">
      <c r="A196" t="s">
        <v>1986</v>
      </c>
      <c r="B196" s="15">
        <f t="shared" si="3"/>
        <v>46372</v>
      </c>
      <c r="C196" s="18">
        <v>450</v>
      </c>
    </row>
    <row r="197" spans="1:3" x14ac:dyDescent="0.35">
      <c r="A197" t="s">
        <v>1986</v>
      </c>
      <c r="B197" s="15">
        <f t="shared" si="3"/>
        <v>46379</v>
      </c>
      <c r="C197" s="18">
        <v>450</v>
      </c>
    </row>
    <row r="198" spans="1:3" x14ac:dyDescent="0.35">
      <c r="A198" t="s">
        <v>1986</v>
      </c>
      <c r="B198" s="15">
        <f t="shared" si="3"/>
        <v>46386</v>
      </c>
      <c r="C198" s="18">
        <v>450</v>
      </c>
    </row>
    <row r="199" spans="1:3" x14ac:dyDescent="0.35">
      <c r="A199" t="s">
        <v>1986</v>
      </c>
      <c r="B199" s="15">
        <f t="shared" si="3"/>
        <v>46393</v>
      </c>
      <c r="C199" s="18">
        <v>450</v>
      </c>
    </row>
    <row r="200" spans="1:3" x14ac:dyDescent="0.35">
      <c r="A200" t="s">
        <v>1986</v>
      </c>
      <c r="B200" s="15">
        <f t="shared" si="3"/>
        <v>46400</v>
      </c>
      <c r="C200" s="18">
        <v>450</v>
      </c>
    </row>
    <row r="201" spans="1:3" x14ac:dyDescent="0.35">
      <c r="A201" t="s">
        <v>1986</v>
      </c>
      <c r="B201" s="15">
        <f t="shared" si="3"/>
        <v>46407</v>
      </c>
      <c r="C201" s="18">
        <v>450</v>
      </c>
    </row>
    <row r="202" spans="1:3" x14ac:dyDescent="0.35">
      <c r="A202" t="s">
        <v>1986</v>
      </c>
      <c r="B202" s="15">
        <f t="shared" si="3"/>
        <v>46414</v>
      </c>
      <c r="C202" s="18">
        <v>450</v>
      </c>
    </row>
    <row r="203" spans="1:3" x14ac:dyDescent="0.35">
      <c r="A203" t="s">
        <v>1986</v>
      </c>
      <c r="B203" s="15">
        <f t="shared" si="3"/>
        <v>46421</v>
      </c>
      <c r="C203" s="18">
        <v>450</v>
      </c>
    </row>
    <row r="204" spans="1:3" x14ac:dyDescent="0.35">
      <c r="A204" t="s">
        <v>1986</v>
      </c>
      <c r="B204" s="15">
        <f t="shared" si="3"/>
        <v>46428</v>
      </c>
      <c r="C204" s="18">
        <v>450</v>
      </c>
    </row>
    <row r="205" spans="1:3" x14ac:dyDescent="0.35">
      <c r="A205" t="s">
        <v>1986</v>
      </c>
      <c r="B205" s="15">
        <f t="shared" si="3"/>
        <v>46435</v>
      </c>
      <c r="C205" s="18">
        <v>450</v>
      </c>
    </row>
    <row r="206" spans="1:3" x14ac:dyDescent="0.35">
      <c r="A206" t="s">
        <v>1986</v>
      </c>
      <c r="B206" s="15">
        <f t="shared" si="3"/>
        <v>46442</v>
      </c>
      <c r="C206" s="18">
        <v>450</v>
      </c>
    </row>
    <row r="207" spans="1:3" x14ac:dyDescent="0.35">
      <c r="A207" t="s">
        <v>1986</v>
      </c>
      <c r="B207" s="15">
        <f t="shared" si="3"/>
        <v>46449</v>
      </c>
      <c r="C207" s="18">
        <v>450</v>
      </c>
    </row>
    <row r="208" spans="1:3" x14ac:dyDescent="0.35">
      <c r="A208" t="s">
        <v>1986</v>
      </c>
      <c r="B208" s="15">
        <f t="shared" si="3"/>
        <v>46456</v>
      </c>
      <c r="C208" s="18">
        <v>450</v>
      </c>
    </row>
    <row r="209" spans="1:3" x14ac:dyDescent="0.35">
      <c r="A209" t="s">
        <v>1986</v>
      </c>
      <c r="B209" s="15">
        <f t="shared" si="3"/>
        <v>46463</v>
      </c>
      <c r="C209" s="18">
        <v>450</v>
      </c>
    </row>
    <row r="210" spans="1:3" x14ac:dyDescent="0.35">
      <c r="A210" t="s">
        <v>1986</v>
      </c>
      <c r="B210" s="15">
        <f t="shared" si="3"/>
        <v>46470</v>
      </c>
      <c r="C210" s="18">
        <v>450</v>
      </c>
    </row>
    <row r="211" spans="1:3" x14ac:dyDescent="0.35">
      <c r="A211" t="s">
        <v>1986</v>
      </c>
      <c r="B211" s="15">
        <f t="shared" si="3"/>
        <v>46477</v>
      </c>
      <c r="C211" s="18">
        <v>450</v>
      </c>
    </row>
    <row r="212" spans="1:3" x14ac:dyDescent="0.35">
      <c r="A212" t="s">
        <v>1986</v>
      </c>
      <c r="B212" s="15">
        <f t="shared" si="3"/>
        <v>46484</v>
      </c>
      <c r="C212" s="18">
        <v>450</v>
      </c>
    </row>
    <row r="213" spans="1:3" x14ac:dyDescent="0.35">
      <c r="A213" t="s">
        <v>1986</v>
      </c>
      <c r="B213" s="15">
        <f t="shared" si="3"/>
        <v>46491</v>
      </c>
      <c r="C213" s="18">
        <v>450</v>
      </c>
    </row>
    <row r="214" spans="1:3" x14ac:dyDescent="0.35">
      <c r="A214" t="s">
        <v>1986</v>
      </c>
      <c r="B214" s="15">
        <f t="shared" si="3"/>
        <v>46498</v>
      </c>
      <c r="C214" s="18">
        <v>450</v>
      </c>
    </row>
    <row r="215" spans="1:3" x14ac:dyDescent="0.35">
      <c r="A215" t="s">
        <v>1986</v>
      </c>
      <c r="B215" s="15">
        <f t="shared" si="3"/>
        <v>46505</v>
      </c>
      <c r="C215" s="18">
        <v>450</v>
      </c>
    </row>
    <row r="216" spans="1:3" x14ac:dyDescent="0.35">
      <c r="A216" t="s">
        <v>1986</v>
      </c>
      <c r="B216" s="15">
        <f t="shared" si="3"/>
        <v>46512</v>
      </c>
      <c r="C216" s="18">
        <v>450</v>
      </c>
    </row>
    <row r="217" spans="1:3" x14ac:dyDescent="0.35">
      <c r="A217" t="s">
        <v>1986</v>
      </c>
      <c r="B217" s="15">
        <f t="shared" si="3"/>
        <v>46519</v>
      </c>
      <c r="C217" s="18">
        <v>450</v>
      </c>
    </row>
    <row r="218" spans="1:3" x14ac:dyDescent="0.35">
      <c r="A218" t="s">
        <v>1986</v>
      </c>
      <c r="B218" s="15">
        <f t="shared" si="3"/>
        <v>46526</v>
      </c>
      <c r="C218" s="18">
        <v>450</v>
      </c>
    </row>
    <row r="219" spans="1:3" x14ac:dyDescent="0.35">
      <c r="A219" t="s">
        <v>1986</v>
      </c>
      <c r="B219" s="15">
        <f t="shared" si="3"/>
        <v>46533</v>
      </c>
      <c r="C219" s="18">
        <v>450</v>
      </c>
    </row>
    <row r="220" spans="1:3" x14ac:dyDescent="0.35">
      <c r="A220" t="s">
        <v>1986</v>
      </c>
      <c r="B220" s="15">
        <f t="shared" si="3"/>
        <v>46540</v>
      </c>
      <c r="C220" s="18">
        <v>450</v>
      </c>
    </row>
    <row r="221" spans="1:3" x14ac:dyDescent="0.35">
      <c r="A221" t="s">
        <v>1986</v>
      </c>
      <c r="B221" s="15">
        <f t="shared" si="3"/>
        <v>46547</v>
      </c>
      <c r="C221" s="18">
        <v>450</v>
      </c>
    </row>
    <row r="222" spans="1:3" x14ac:dyDescent="0.35">
      <c r="A222" t="s">
        <v>1986</v>
      </c>
      <c r="B222" s="15">
        <f t="shared" si="3"/>
        <v>46554</v>
      </c>
      <c r="C222" s="18">
        <v>450</v>
      </c>
    </row>
    <row r="223" spans="1:3" x14ac:dyDescent="0.35">
      <c r="A223" t="s">
        <v>1986</v>
      </c>
      <c r="B223" s="15">
        <f t="shared" si="3"/>
        <v>46561</v>
      </c>
      <c r="C223" s="18">
        <v>450</v>
      </c>
    </row>
    <row r="224" spans="1:3" x14ac:dyDescent="0.35">
      <c r="A224" t="s">
        <v>1986</v>
      </c>
      <c r="B224" s="15">
        <f t="shared" ref="B224:B255" si="4">B223+7</f>
        <v>46568</v>
      </c>
      <c r="C224" s="18">
        <v>450</v>
      </c>
    </row>
    <row r="225" spans="1:3" x14ac:dyDescent="0.35">
      <c r="A225" t="s">
        <v>1986</v>
      </c>
      <c r="B225" s="15">
        <f t="shared" si="4"/>
        <v>46575</v>
      </c>
      <c r="C225" s="18">
        <v>450</v>
      </c>
    </row>
    <row r="226" spans="1:3" x14ac:dyDescent="0.35">
      <c r="A226" t="s">
        <v>1986</v>
      </c>
      <c r="B226" s="15">
        <f t="shared" si="4"/>
        <v>46582</v>
      </c>
      <c r="C226" s="18">
        <v>450</v>
      </c>
    </row>
    <row r="227" spans="1:3" x14ac:dyDescent="0.35">
      <c r="A227" t="s">
        <v>1986</v>
      </c>
      <c r="B227" s="15">
        <f t="shared" si="4"/>
        <v>46589</v>
      </c>
      <c r="C227" s="18">
        <v>450</v>
      </c>
    </row>
    <row r="228" spans="1:3" x14ac:dyDescent="0.35">
      <c r="A228" t="s">
        <v>1986</v>
      </c>
      <c r="B228" s="15">
        <f t="shared" si="4"/>
        <v>46596</v>
      </c>
      <c r="C228" s="18">
        <v>450</v>
      </c>
    </row>
    <row r="229" spans="1:3" x14ac:dyDescent="0.35">
      <c r="A229" t="s">
        <v>1986</v>
      </c>
      <c r="B229" s="15">
        <f t="shared" si="4"/>
        <v>46603</v>
      </c>
      <c r="C229" s="18">
        <v>450</v>
      </c>
    </row>
    <row r="230" spans="1:3" x14ac:dyDescent="0.35">
      <c r="A230" t="s">
        <v>1986</v>
      </c>
      <c r="B230" s="15">
        <f t="shared" si="4"/>
        <v>46610</v>
      </c>
      <c r="C230" s="18">
        <v>450</v>
      </c>
    </row>
    <row r="231" spans="1:3" x14ac:dyDescent="0.35">
      <c r="A231" t="s">
        <v>1986</v>
      </c>
      <c r="B231" s="15">
        <f t="shared" si="4"/>
        <v>46617</v>
      </c>
      <c r="C231" s="18">
        <v>450</v>
      </c>
    </row>
    <row r="232" spans="1:3" x14ac:dyDescent="0.35">
      <c r="A232" t="s">
        <v>1986</v>
      </c>
      <c r="B232" s="15">
        <f t="shared" si="4"/>
        <v>46624</v>
      </c>
      <c r="C232" s="18">
        <v>450</v>
      </c>
    </row>
    <row r="233" spans="1:3" x14ac:dyDescent="0.35">
      <c r="A233" t="s">
        <v>1986</v>
      </c>
      <c r="B233" s="15">
        <f t="shared" si="4"/>
        <v>46631</v>
      </c>
      <c r="C233" s="18">
        <v>450</v>
      </c>
    </row>
    <row r="234" spans="1:3" x14ac:dyDescent="0.35">
      <c r="A234" t="s">
        <v>1986</v>
      </c>
      <c r="B234" s="15">
        <f t="shared" si="4"/>
        <v>46638</v>
      </c>
      <c r="C234" s="18">
        <v>450</v>
      </c>
    </row>
    <row r="235" spans="1:3" x14ac:dyDescent="0.35">
      <c r="A235" t="s">
        <v>1986</v>
      </c>
      <c r="B235" s="15">
        <f t="shared" si="4"/>
        <v>46645</v>
      </c>
      <c r="C235" s="18">
        <v>450</v>
      </c>
    </row>
    <row r="236" spans="1:3" x14ac:dyDescent="0.35">
      <c r="A236" t="s">
        <v>1986</v>
      </c>
      <c r="B236" s="15">
        <f t="shared" si="4"/>
        <v>46652</v>
      </c>
      <c r="C236" s="18">
        <v>450</v>
      </c>
    </row>
    <row r="237" spans="1:3" x14ac:dyDescent="0.35">
      <c r="A237" t="s">
        <v>1986</v>
      </c>
      <c r="B237" s="15">
        <f t="shared" si="4"/>
        <v>46659</v>
      </c>
      <c r="C237" s="18">
        <v>450</v>
      </c>
    </row>
    <row r="238" spans="1:3" x14ac:dyDescent="0.35">
      <c r="A238" t="s">
        <v>1986</v>
      </c>
      <c r="B238" s="15">
        <f t="shared" si="4"/>
        <v>46666</v>
      </c>
      <c r="C238" s="18">
        <v>450</v>
      </c>
    </row>
    <row r="239" spans="1:3" x14ac:dyDescent="0.35">
      <c r="A239" t="s">
        <v>1986</v>
      </c>
      <c r="B239" s="15">
        <f t="shared" si="4"/>
        <v>46673</v>
      </c>
      <c r="C239" s="18">
        <v>450</v>
      </c>
    </row>
    <row r="240" spans="1:3" x14ac:dyDescent="0.35">
      <c r="A240" t="s">
        <v>1986</v>
      </c>
      <c r="B240" s="15">
        <f t="shared" si="4"/>
        <v>46680</v>
      </c>
      <c r="C240" s="18">
        <v>450</v>
      </c>
    </row>
    <row r="241" spans="1:3" x14ac:dyDescent="0.35">
      <c r="A241" t="s">
        <v>1986</v>
      </c>
      <c r="B241" s="15">
        <f t="shared" si="4"/>
        <v>46687</v>
      </c>
      <c r="C241" s="18">
        <v>450</v>
      </c>
    </row>
    <row r="242" spans="1:3" x14ac:dyDescent="0.35">
      <c r="A242" t="s">
        <v>1986</v>
      </c>
      <c r="B242" s="15">
        <f t="shared" si="4"/>
        <v>46694</v>
      </c>
      <c r="C242" s="18">
        <v>450</v>
      </c>
    </row>
    <row r="243" spans="1:3" x14ac:dyDescent="0.35">
      <c r="A243" t="s">
        <v>1986</v>
      </c>
      <c r="B243" s="15">
        <f t="shared" si="4"/>
        <v>46701</v>
      </c>
      <c r="C243" s="18">
        <v>450</v>
      </c>
    </row>
    <row r="244" spans="1:3" x14ac:dyDescent="0.35">
      <c r="A244" t="s">
        <v>1986</v>
      </c>
      <c r="B244" s="15">
        <f t="shared" si="4"/>
        <v>46708</v>
      </c>
      <c r="C244" s="18">
        <v>450</v>
      </c>
    </row>
    <row r="245" spans="1:3" x14ac:dyDescent="0.35">
      <c r="A245" t="s">
        <v>1986</v>
      </c>
      <c r="B245" s="15">
        <f t="shared" si="4"/>
        <v>46715</v>
      </c>
      <c r="C245" s="18">
        <v>450</v>
      </c>
    </row>
    <row r="246" spans="1:3" x14ac:dyDescent="0.35">
      <c r="A246" t="s">
        <v>1986</v>
      </c>
      <c r="B246" s="15">
        <f t="shared" si="4"/>
        <v>46722</v>
      </c>
      <c r="C246" s="18">
        <v>450</v>
      </c>
    </row>
    <row r="247" spans="1:3" x14ac:dyDescent="0.35">
      <c r="A247" t="s">
        <v>1986</v>
      </c>
      <c r="B247" s="15">
        <f t="shared" si="4"/>
        <v>46729</v>
      </c>
      <c r="C247" s="18">
        <v>450</v>
      </c>
    </row>
    <row r="248" spans="1:3" x14ac:dyDescent="0.35">
      <c r="A248" t="s">
        <v>1986</v>
      </c>
      <c r="B248" s="15">
        <f t="shared" si="4"/>
        <v>46736</v>
      </c>
      <c r="C248" s="18">
        <v>450</v>
      </c>
    </row>
    <row r="249" spans="1:3" x14ac:dyDescent="0.35">
      <c r="A249" t="s">
        <v>1986</v>
      </c>
      <c r="B249" s="15">
        <f t="shared" si="4"/>
        <v>46743</v>
      </c>
      <c r="C249" s="18">
        <v>450</v>
      </c>
    </row>
    <row r="250" spans="1:3" x14ac:dyDescent="0.35">
      <c r="A250" t="s">
        <v>1986</v>
      </c>
      <c r="B250" s="15">
        <f t="shared" si="4"/>
        <v>46750</v>
      </c>
      <c r="C250" s="18">
        <v>450</v>
      </c>
    </row>
    <row r="251" spans="1:3" x14ac:dyDescent="0.35">
      <c r="A251" t="s">
        <v>1986</v>
      </c>
      <c r="B251" s="15">
        <f t="shared" si="4"/>
        <v>46757</v>
      </c>
      <c r="C251" s="18">
        <v>450</v>
      </c>
    </row>
    <row r="252" spans="1:3" x14ac:dyDescent="0.35">
      <c r="A252" t="s">
        <v>1986</v>
      </c>
      <c r="B252" s="15">
        <f t="shared" si="4"/>
        <v>46764</v>
      </c>
      <c r="C252" s="18">
        <v>450</v>
      </c>
    </row>
    <row r="253" spans="1:3" x14ac:dyDescent="0.35">
      <c r="A253" t="s">
        <v>1986</v>
      </c>
      <c r="B253" s="15">
        <f t="shared" si="4"/>
        <v>46771</v>
      </c>
      <c r="C253" s="18">
        <v>450</v>
      </c>
    </row>
    <row r="254" spans="1:3" x14ac:dyDescent="0.35">
      <c r="A254" t="s">
        <v>1986</v>
      </c>
      <c r="B254" s="15">
        <f t="shared" si="4"/>
        <v>46778</v>
      </c>
      <c r="C254" s="18">
        <v>450</v>
      </c>
    </row>
    <row r="255" spans="1:3" x14ac:dyDescent="0.35">
      <c r="A255" t="s">
        <v>1986</v>
      </c>
      <c r="B255" s="15">
        <f t="shared" si="4"/>
        <v>46785</v>
      </c>
      <c r="C255" s="18">
        <v>450</v>
      </c>
    </row>
    <row r="256" spans="1:3" x14ac:dyDescent="0.35">
      <c r="A256" s="16"/>
      <c r="B256" s="15"/>
    </row>
    <row r="257" spans="1:2" x14ac:dyDescent="0.35">
      <c r="A257" s="16"/>
      <c r="B257" s="15"/>
    </row>
    <row r="258" spans="1:2" x14ac:dyDescent="0.35">
      <c r="A258" s="16"/>
      <c r="B258" s="15"/>
    </row>
    <row r="259" spans="1:2" x14ac:dyDescent="0.35">
      <c r="A259" s="16"/>
      <c r="B259" s="15"/>
    </row>
    <row r="260" spans="1:2" x14ac:dyDescent="0.35">
      <c r="A260" s="16"/>
      <c r="B260" s="15"/>
    </row>
    <row r="261" spans="1:2" x14ac:dyDescent="0.35">
      <c r="A261" s="16"/>
      <c r="B261" s="15"/>
    </row>
    <row r="262" spans="1:2" x14ac:dyDescent="0.35">
      <c r="A262" s="16"/>
      <c r="B262" s="15"/>
    </row>
    <row r="263" spans="1:2" x14ac:dyDescent="0.35">
      <c r="A263" s="16"/>
      <c r="B263" s="15"/>
    </row>
    <row r="264" spans="1:2" x14ac:dyDescent="0.35">
      <c r="A264" s="16"/>
      <c r="B264" s="15"/>
    </row>
    <row r="265" spans="1:2" x14ac:dyDescent="0.35">
      <c r="A265" s="16"/>
      <c r="B265" s="15"/>
    </row>
    <row r="266" spans="1:2" x14ac:dyDescent="0.35">
      <c r="A266" s="16"/>
      <c r="B266" s="15"/>
    </row>
    <row r="267" spans="1:2" x14ac:dyDescent="0.35">
      <c r="A267" s="16"/>
      <c r="B267" s="15"/>
    </row>
    <row r="268" spans="1:2" x14ac:dyDescent="0.35">
      <c r="A268" s="16"/>
      <c r="B268" s="15"/>
    </row>
    <row r="269" spans="1:2" x14ac:dyDescent="0.35">
      <c r="A269" s="16"/>
      <c r="B269" s="15"/>
    </row>
    <row r="270" spans="1:2" x14ac:dyDescent="0.35">
      <c r="A270" s="16"/>
      <c r="B270" s="15"/>
    </row>
    <row r="271" spans="1:2" x14ac:dyDescent="0.35">
      <c r="A271" s="16"/>
      <c r="B271" s="15"/>
    </row>
    <row r="272" spans="1:2" x14ac:dyDescent="0.35">
      <c r="A272" s="16"/>
      <c r="B272" s="15"/>
    </row>
    <row r="273" spans="1:3" x14ac:dyDescent="0.35">
      <c r="A273" s="16"/>
      <c r="B273" s="15"/>
    </row>
    <row r="274" spans="1:3" x14ac:dyDescent="0.35">
      <c r="A274" s="16"/>
      <c r="B274" s="15"/>
    </row>
    <row r="275" spans="1:3" x14ac:dyDescent="0.35">
      <c r="A275" s="16"/>
      <c r="B275" s="15"/>
    </row>
    <row r="276" spans="1:3" x14ac:dyDescent="0.35">
      <c r="A276" s="16"/>
      <c r="B276" s="15"/>
    </row>
    <row r="277" spans="1:3" x14ac:dyDescent="0.35">
      <c r="A277" s="16"/>
      <c r="B277" s="15"/>
    </row>
    <row r="278" spans="1:3" x14ac:dyDescent="0.35">
      <c r="A278" s="16"/>
      <c r="B278" s="15"/>
    </row>
    <row r="279" spans="1:3" x14ac:dyDescent="0.35">
      <c r="A279" s="16"/>
      <c r="B279" s="15"/>
    </row>
    <row r="280" spans="1:3" x14ac:dyDescent="0.35">
      <c r="A280" s="16"/>
      <c r="B280" s="15"/>
    </row>
    <row r="281" spans="1:3" x14ac:dyDescent="0.35">
      <c r="A281" s="16"/>
      <c r="B281" s="15"/>
    </row>
    <row r="282" spans="1:3" x14ac:dyDescent="0.35">
      <c r="A282" s="16"/>
      <c r="B282" s="15"/>
    </row>
    <row r="283" spans="1:3" x14ac:dyDescent="0.35">
      <c r="A283" s="16"/>
      <c r="B283" s="15"/>
    </row>
    <row r="284" spans="1:3" x14ac:dyDescent="0.35">
      <c r="A284" s="16"/>
      <c r="B284" s="17"/>
      <c r="C284" s="18"/>
    </row>
    <row r="285" spans="1:3" x14ac:dyDescent="0.35">
      <c r="A285" s="16"/>
      <c r="B285" s="15"/>
      <c r="C285" s="18"/>
    </row>
    <row r="286" spans="1:3" x14ac:dyDescent="0.35">
      <c r="A286" s="16"/>
      <c r="B286" s="15"/>
      <c r="C286" s="18"/>
    </row>
    <row r="287" spans="1:3" x14ac:dyDescent="0.35">
      <c r="A287" s="16"/>
      <c r="B287" s="15"/>
      <c r="C287" s="18"/>
    </row>
    <row r="288" spans="1:3" x14ac:dyDescent="0.35">
      <c r="A288" s="16"/>
      <c r="B288" s="15"/>
      <c r="C288" s="18"/>
    </row>
    <row r="289" spans="1:3" x14ac:dyDescent="0.35">
      <c r="A289" s="16"/>
      <c r="B289" s="15"/>
      <c r="C289" s="18"/>
    </row>
    <row r="290" spans="1:3" x14ac:dyDescent="0.35">
      <c r="A290" s="16"/>
      <c r="B290" s="15"/>
      <c r="C290" s="18"/>
    </row>
    <row r="291" spans="1:3" x14ac:dyDescent="0.35">
      <c r="A291" s="16"/>
      <c r="B291" s="15"/>
      <c r="C291" s="18"/>
    </row>
    <row r="292" spans="1:3" x14ac:dyDescent="0.35">
      <c r="A292" s="16"/>
      <c r="B292" s="15"/>
      <c r="C292" s="18"/>
    </row>
    <row r="293" spans="1:3" x14ac:dyDescent="0.35">
      <c r="A293" s="16"/>
      <c r="B293" s="15"/>
      <c r="C293" s="18"/>
    </row>
    <row r="294" spans="1:3" x14ac:dyDescent="0.35">
      <c r="A294" s="16"/>
      <c r="B294" s="15"/>
      <c r="C294" s="18"/>
    </row>
    <row r="295" spans="1:3" x14ac:dyDescent="0.35">
      <c r="A295" s="16"/>
      <c r="B295" s="15"/>
      <c r="C295" s="18"/>
    </row>
    <row r="296" spans="1:3" x14ac:dyDescent="0.35">
      <c r="A296" s="16"/>
      <c r="B296" s="15"/>
      <c r="C296" s="18"/>
    </row>
    <row r="297" spans="1:3" x14ac:dyDescent="0.35">
      <c r="A297" s="16"/>
      <c r="B297" s="15"/>
      <c r="C297" s="18"/>
    </row>
    <row r="298" spans="1:3" x14ac:dyDescent="0.35">
      <c r="A298" s="16"/>
      <c r="B298" s="15"/>
      <c r="C298" s="18"/>
    </row>
    <row r="299" spans="1:3" x14ac:dyDescent="0.35">
      <c r="A299" s="16"/>
      <c r="B299" s="15"/>
      <c r="C299" s="18"/>
    </row>
    <row r="300" spans="1:3" x14ac:dyDescent="0.35">
      <c r="A300" s="16"/>
      <c r="B300" s="15"/>
      <c r="C300" s="18"/>
    </row>
    <row r="301" spans="1:3" x14ac:dyDescent="0.35">
      <c r="A301" s="16"/>
      <c r="B301" s="15"/>
      <c r="C301" s="18"/>
    </row>
    <row r="302" spans="1:3" x14ac:dyDescent="0.35">
      <c r="A302" s="16"/>
      <c r="B302" s="15"/>
      <c r="C302" s="18"/>
    </row>
    <row r="303" spans="1:3" x14ac:dyDescent="0.35">
      <c r="A303" s="16"/>
      <c r="B303" s="15"/>
      <c r="C303" s="18"/>
    </row>
    <row r="304" spans="1:3" x14ac:dyDescent="0.35">
      <c r="A304" s="16"/>
      <c r="B304" s="15"/>
      <c r="C304" s="18"/>
    </row>
    <row r="305" spans="1:3" x14ac:dyDescent="0.35">
      <c r="A305" s="16"/>
      <c r="B305" s="15"/>
      <c r="C305" s="18"/>
    </row>
    <row r="306" spans="1:3" x14ac:dyDescent="0.35">
      <c r="A306" s="16"/>
      <c r="B306" s="15"/>
      <c r="C306" s="18"/>
    </row>
    <row r="307" spans="1:3" x14ac:dyDescent="0.35">
      <c r="A307" s="16"/>
      <c r="B307" s="15"/>
      <c r="C307" s="18"/>
    </row>
    <row r="308" spans="1:3" x14ac:dyDescent="0.35">
      <c r="A308" s="16"/>
      <c r="B308" s="15"/>
      <c r="C308" s="18"/>
    </row>
    <row r="309" spans="1:3" x14ac:dyDescent="0.35">
      <c r="A309" s="16"/>
      <c r="B309" s="15"/>
      <c r="C309" s="18"/>
    </row>
    <row r="310" spans="1:3" x14ac:dyDescent="0.35">
      <c r="A310" s="16"/>
      <c r="B310" s="15"/>
      <c r="C310" s="18"/>
    </row>
    <row r="311" spans="1:3" x14ac:dyDescent="0.35">
      <c r="A311" s="16"/>
      <c r="B311" s="15"/>
      <c r="C311" s="18"/>
    </row>
    <row r="312" spans="1:3" x14ac:dyDescent="0.35">
      <c r="A312" s="16"/>
      <c r="B312" s="15"/>
      <c r="C312" s="18"/>
    </row>
    <row r="313" spans="1:3" x14ac:dyDescent="0.35">
      <c r="A313" s="16"/>
      <c r="B313" s="15"/>
      <c r="C313" s="18"/>
    </row>
    <row r="314" spans="1:3" x14ac:dyDescent="0.35">
      <c r="A314" s="16"/>
      <c r="B314" s="15"/>
      <c r="C314" s="18"/>
    </row>
    <row r="315" spans="1:3" x14ac:dyDescent="0.35">
      <c r="A315" s="16"/>
      <c r="B315" s="15"/>
      <c r="C315" s="18"/>
    </row>
    <row r="316" spans="1:3" x14ac:dyDescent="0.35">
      <c r="A316" s="16"/>
      <c r="B316" s="15"/>
      <c r="C316" s="18"/>
    </row>
    <row r="317" spans="1:3" x14ac:dyDescent="0.35">
      <c r="A317" s="16"/>
      <c r="B317" s="15"/>
      <c r="C317" s="18"/>
    </row>
    <row r="318" spans="1:3" x14ac:dyDescent="0.35">
      <c r="A318" s="16"/>
      <c r="B318" s="15"/>
      <c r="C318" s="18"/>
    </row>
    <row r="319" spans="1:3" x14ac:dyDescent="0.35">
      <c r="A319" s="16"/>
      <c r="B319" s="15"/>
      <c r="C319" s="18"/>
    </row>
    <row r="320" spans="1:3" x14ac:dyDescent="0.35">
      <c r="A320" s="16"/>
      <c r="B320" s="15"/>
      <c r="C320" s="18"/>
    </row>
    <row r="321" spans="1:3" x14ac:dyDescent="0.35">
      <c r="A321" s="16"/>
      <c r="B321" s="15"/>
      <c r="C321" s="18"/>
    </row>
    <row r="322" spans="1:3" x14ac:dyDescent="0.35">
      <c r="A322" s="16"/>
      <c r="B322" s="15"/>
      <c r="C322" s="18"/>
    </row>
    <row r="323" spans="1:3" x14ac:dyDescent="0.35">
      <c r="A323" s="16"/>
      <c r="B323" s="15"/>
      <c r="C323" s="18"/>
    </row>
    <row r="324" spans="1:3" x14ac:dyDescent="0.35">
      <c r="A324" s="16"/>
      <c r="B324" s="15"/>
      <c r="C324" s="18"/>
    </row>
    <row r="325" spans="1:3" x14ac:dyDescent="0.35">
      <c r="A325" s="16"/>
      <c r="B325" s="15"/>
      <c r="C325" s="18"/>
    </row>
    <row r="326" spans="1:3" x14ac:dyDescent="0.35">
      <c r="A326" s="16"/>
      <c r="B326" s="15"/>
      <c r="C326" s="18"/>
    </row>
    <row r="327" spans="1:3" x14ac:dyDescent="0.35">
      <c r="A327" s="16"/>
      <c r="B327" s="15"/>
      <c r="C327" s="18"/>
    </row>
    <row r="328" spans="1:3" x14ac:dyDescent="0.35">
      <c r="A328" s="16"/>
      <c r="B328" s="15"/>
      <c r="C328" s="18"/>
    </row>
    <row r="329" spans="1:3" x14ac:dyDescent="0.35">
      <c r="A329" s="16"/>
      <c r="B329" s="15"/>
      <c r="C329" s="18"/>
    </row>
    <row r="330" spans="1:3" x14ac:dyDescent="0.35">
      <c r="A330" s="16"/>
      <c r="B330" s="15"/>
      <c r="C330" s="18"/>
    </row>
    <row r="331" spans="1:3" x14ac:dyDescent="0.35">
      <c r="A331" s="16"/>
      <c r="B331" s="15"/>
      <c r="C331" s="18"/>
    </row>
    <row r="332" spans="1:3" x14ac:dyDescent="0.35">
      <c r="A332" s="16"/>
      <c r="B332" s="15"/>
      <c r="C332" s="18"/>
    </row>
    <row r="333" spans="1:3" x14ac:dyDescent="0.35">
      <c r="A333" s="16"/>
      <c r="B333" s="15"/>
      <c r="C333" s="18"/>
    </row>
    <row r="334" spans="1:3" x14ac:dyDescent="0.35">
      <c r="A334" s="16"/>
      <c r="B334" s="15"/>
      <c r="C334" s="18"/>
    </row>
    <row r="335" spans="1:3" x14ac:dyDescent="0.35">
      <c r="A335" s="16"/>
      <c r="B335" s="15"/>
      <c r="C335" s="18"/>
    </row>
    <row r="336" spans="1:3" x14ac:dyDescent="0.35">
      <c r="A336" s="16"/>
      <c r="B336" s="15"/>
      <c r="C336" s="18"/>
    </row>
    <row r="337" spans="1:3" x14ac:dyDescent="0.35">
      <c r="A337" s="16"/>
      <c r="B337" s="15"/>
      <c r="C337" s="18"/>
    </row>
    <row r="338" spans="1:3" x14ac:dyDescent="0.35">
      <c r="A338" s="16"/>
      <c r="B338" s="15"/>
      <c r="C338" s="18"/>
    </row>
    <row r="339" spans="1:3" x14ac:dyDescent="0.35">
      <c r="A339" s="16"/>
      <c r="B339" s="15"/>
      <c r="C339" s="18"/>
    </row>
    <row r="340" spans="1:3" x14ac:dyDescent="0.35">
      <c r="A340" s="16"/>
      <c r="B340" s="15"/>
      <c r="C340" s="18"/>
    </row>
    <row r="341" spans="1:3" x14ac:dyDescent="0.35">
      <c r="A341" s="16"/>
      <c r="B341" s="15"/>
      <c r="C341" s="18"/>
    </row>
    <row r="342" spans="1:3" x14ac:dyDescent="0.35">
      <c r="A342" s="16"/>
      <c r="B342" s="15"/>
      <c r="C342" s="18"/>
    </row>
    <row r="343" spans="1:3" x14ac:dyDescent="0.35">
      <c r="A343" s="16"/>
      <c r="B343" s="15"/>
      <c r="C343" s="18"/>
    </row>
    <row r="344" spans="1:3" x14ac:dyDescent="0.35">
      <c r="A344" s="16"/>
      <c r="B344" s="15"/>
      <c r="C344" s="18"/>
    </row>
    <row r="345" spans="1:3" x14ac:dyDescent="0.35">
      <c r="A345" s="16"/>
      <c r="B345" s="15"/>
      <c r="C345" s="18"/>
    </row>
    <row r="346" spans="1:3" x14ac:dyDescent="0.35">
      <c r="A346" s="16"/>
      <c r="B346" s="15"/>
      <c r="C346" s="18"/>
    </row>
    <row r="347" spans="1:3" x14ac:dyDescent="0.35">
      <c r="A347" s="16"/>
      <c r="B347" s="15"/>
      <c r="C347" s="18"/>
    </row>
    <row r="348" spans="1:3" x14ac:dyDescent="0.35">
      <c r="A348" s="16"/>
      <c r="B348" s="15"/>
      <c r="C348" s="18"/>
    </row>
    <row r="349" spans="1:3" x14ac:dyDescent="0.35">
      <c r="A349" s="16"/>
      <c r="B349" s="15"/>
      <c r="C349" s="18"/>
    </row>
    <row r="350" spans="1:3" x14ac:dyDescent="0.35">
      <c r="A350" s="16"/>
      <c r="B350" s="15"/>
      <c r="C350" s="18"/>
    </row>
    <row r="351" spans="1:3" x14ac:dyDescent="0.35">
      <c r="A351" s="16"/>
      <c r="B351" s="15"/>
      <c r="C351" s="18"/>
    </row>
    <row r="352" spans="1:3" x14ac:dyDescent="0.35">
      <c r="A352" s="16"/>
      <c r="B352" s="15"/>
      <c r="C352" s="18"/>
    </row>
    <row r="353" spans="1:3" x14ac:dyDescent="0.35">
      <c r="A353" s="16"/>
      <c r="B353" s="15"/>
      <c r="C353" s="18"/>
    </row>
    <row r="354" spans="1:3" x14ac:dyDescent="0.35">
      <c r="A354" s="16"/>
      <c r="B354" s="15"/>
      <c r="C354" s="18"/>
    </row>
    <row r="355" spans="1:3" x14ac:dyDescent="0.35">
      <c r="A355" s="16"/>
      <c r="B355" s="15"/>
      <c r="C355" s="18"/>
    </row>
    <row r="356" spans="1:3" x14ac:dyDescent="0.35">
      <c r="A356" s="16"/>
      <c r="B356" s="15"/>
      <c r="C356" s="18"/>
    </row>
    <row r="357" spans="1:3" x14ac:dyDescent="0.35">
      <c r="A357" s="16"/>
      <c r="B357" s="15"/>
      <c r="C357" s="18"/>
    </row>
    <row r="358" spans="1:3" x14ac:dyDescent="0.35">
      <c r="A358" s="16"/>
      <c r="B358" s="15"/>
      <c r="C358" s="18"/>
    </row>
    <row r="359" spans="1:3" x14ac:dyDescent="0.35">
      <c r="A359" s="16"/>
      <c r="B359" s="15"/>
      <c r="C359" s="18"/>
    </row>
    <row r="360" spans="1:3" x14ac:dyDescent="0.35">
      <c r="A360" s="16"/>
      <c r="B360" s="15"/>
      <c r="C360" s="18"/>
    </row>
    <row r="361" spans="1:3" x14ac:dyDescent="0.35">
      <c r="A361" s="16"/>
      <c r="B361" s="15"/>
      <c r="C361" s="18"/>
    </row>
    <row r="362" spans="1:3" x14ac:dyDescent="0.35">
      <c r="A362" s="16"/>
      <c r="B362" s="15"/>
      <c r="C362" s="18"/>
    </row>
    <row r="363" spans="1:3" x14ac:dyDescent="0.35">
      <c r="A363" s="16"/>
      <c r="B363" s="15"/>
      <c r="C363" s="18"/>
    </row>
    <row r="364" spans="1:3" x14ac:dyDescent="0.35">
      <c r="A364" s="16"/>
      <c r="B364" s="15"/>
      <c r="C364" s="18"/>
    </row>
    <row r="365" spans="1:3" x14ac:dyDescent="0.35">
      <c r="A365" s="16"/>
      <c r="B365" s="15"/>
      <c r="C365" s="18"/>
    </row>
    <row r="366" spans="1:3" x14ac:dyDescent="0.35">
      <c r="A366" s="16"/>
      <c r="B366" s="15"/>
      <c r="C366" s="18"/>
    </row>
    <row r="367" spans="1:3" x14ac:dyDescent="0.35">
      <c r="A367" s="16"/>
      <c r="B367" s="15"/>
      <c r="C367" s="18"/>
    </row>
    <row r="368" spans="1:3" x14ac:dyDescent="0.35">
      <c r="A368" s="16"/>
      <c r="B368" s="15"/>
      <c r="C368" s="18"/>
    </row>
    <row r="369" spans="1:3" x14ac:dyDescent="0.35">
      <c r="A369" s="16"/>
      <c r="B369" s="15"/>
      <c r="C369" s="18"/>
    </row>
    <row r="370" spans="1:3" x14ac:dyDescent="0.35">
      <c r="A370" s="16"/>
      <c r="B370" s="15"/>
      <c r="C370" s="18"/>
    </row>
    <row r="371" spans="1:3" x14ac:dyDescent="0.35">
      <c r="A371" s="16"/>
      <c r="B371" s="15"/>
      <c r="C371" s="18"/>
    </row>
    <row r="372" spans="1:3" x14ac:dyDescent="0.35">
      <c r="A372" s="16"/>
      <c r="B372" s="15"/>
      <c r="C372" s="18"/>
    </row>
    <row r="373" spans="1:3" x14ac:dyDescent="0.35">
      <c r="A373" s="16"/>
      <c r="B373" s="15"/>
      <c r="C373" s="18"/>
    </row>
    <row r="374" spans="1:3" x14ac:dyDescent="0.35">
      <c r="A374" s="16"/>
      <c r="B374" s="15"/>
      <c r="C374" s="18"/>
    </row>
    <row r="375" spans="1:3" x14ac:dyDescent="0.35">
      <c r="A375" s="16"/>
      <c r="B375" s="15"/>
      <c r="C375" s="18"/>
    </row>
    <row r="376" spans="1:3" x14ac:dyDescent="0.35">
      <c r="A376" s="16"/>
      <c r="B376" s="15"/>
      <c r="C376" s="18"/>
    </row>
    <row r="377" spans="1:3" x14ac:dyDescent="0.35">
      <c r="A377" s="16"/>
      <c r="B377" s="15"/>
      <c r="C377" s="18"/>
    </row>
    <row r="378" spans="1:3" x14ac:dyDescent="0.35">
      <c r="A378" s="16"/>
      <c r="B378" s="17"/>
      <c r="C378" s="18"/>
    </row>
    <row r="379" spans="1:3" x14ac:dyDescent="0.35">
      <c r="A379" s="16"/>
      <c r="B379" s="15"/>
      <c r="C379" s="18"/>
    </row>
    <row r="380" spans="1:3" x14ac:dyDescent="0.35">
      <c r="A380" s="16"/>
      <c r="B380" s="15"/>
      <c r="C380" s="18"/>
    </row>
    <row r="381" spans="1:3" x14ac:dyDescent="0.35">
      <c r="A381" s="16"/>
      <c r="B381" s="15"/>
      <c r="C381" s="18"/>
    </row>
    <row r="382" spans="1:3" x14ac:dyDescent="0.35">
      <c r="A382" s="16"/>
      <c r="B382" s="15"/>
      <c r="C382" s="18"/>
    </row>
    <row r="383" spans="1:3" x14ac:dyDescent="0.35">
      <c r="A383" s="16"/>
      <c r="B383" s="15"/>
      <c r="C383" s="18"/>
    </row>
    <row r="384" spans="1:3" x14ac:dyDescent="0.35">
      <c r="A384" s="16"/>
      <c r="B384" s="15"/>
      <c r="C384" s="18"/>
    </row>
    <row r="385" spans="1:3" x14ac:dyDescent="0.35">
      <c r="A385" s="16"/>
      <c r="B385" s="15"/>
      <c r="C385" s="18"/>
    </row>
    <row r="386" spans="1:3" x14ac:dyDescent="0.35">
      <c r="A386" s="16"/>
      <c r="B386" s="15"/>
      <c r="C386" s="18"/>
    </row>
    <row r="387" spans="1:3" x14ac:dyDescent="0.35">
      <c r="A387" s="16"/>
      <c r="B387" s="15"/>
      <c r="C387" s="18"/>
    </row>
    <row r="388" spans="1:3" x14ac:dyDescent="0.35">
      <c r="A388" s="16"/>
      <c r="B388" s="15"/>
      <c r="C388" s="18"/>
    </row>
    <row r="389" spans="1:3" x14ac:dyDescent="0.35">
      <c r="A389" s="16"/>
      <c r="B389" s="15"/>
      <c r="C389" s="18"/>
    </row>
    <row r="390" spans="1:3" x14ac:dyDescent="0.35">
      <c r="A390" s="16"/>
      <c r="B390" s="15"/>
      <c r="C390" s="18"/>
    </row>
    <row r="391" spans="1:3" x14ac:dyDescent="0.35">
      <c r="A391" s="16"/>
      <c r="B391" s="15"/>
      <c r="C391" s="18"/>
    </row>
    <row r="392" spans="1:3" x14ac:dyDescent="0.35">
      <c r="A392" s="16"/>
      <c r="B392" s="15"/>
      <c r="C392" s="18"/>
    </row>
    <row r="393" spans="1:3" x14ac:dyDescent="0.35">
      <c r="A393" s="16"/>
      <c r="B393" s="15"/>
      <c r="C393" s="18"/>
    </row>
    <row r="394" spans="1:3" x14ac:dyDescent="0.35">
      <c r="A394" s="16"/>
      <c r="B394" s="15"/>
      <c r="C394" s="18"/>
    </row>
    <row r="395" spans="1:3" x14ac:dyDescent="0.35">
      <c r="A395" s="16"/>
      <c r="B395" s="15"/>
      <c r="C395" s="18"/>
    </row>
    <row r="396" spans="1:3" x14ac:dyDescent="0.35">
      <c r="A396" s="16"/>
      <c r="B396" s="15"/>
      <c r="C396" s="18"/>
    </row>
    <row r="397" spans="1:3" x14ac:dyDescent="0.35">
      <c r="A397" s="16"/>
      <c r="B397" s="15"/>
      <c r="C397" s="18"/>
    </row>
    <row r="398" spans="1:3" x14ac:dyDescent="0.35">
      <c r="A398" s="16"/>
      <c r="B398" s="15"/>
      <c r="C398" s="18"/>
    </row>
    <row r="399" spans="1:3" x14ac:dyDescent="0.35">
      <c r="A399" s="16"/>
      <c r="B399" s="15"/>
      <c r="C399" s="18"/>
    </row>
    <row r="400" spans="1:3" x14ac:dyDescent="0.35">
      <c r="A400" s="16"/>
      <c r="B400" s="15"/>
      <c r="C400" s="18"/>
    </row>
    <row r="401" spans="1:3" x14ac:dyDescent="0.35">
      <c r="A401" s="16"/>
      <c r="B401" s="15"/>
      <c r="C401" s="18"/>
    </row>
    <row r="402" spans="1:3" x14ac:dyDescent="0.35">
      <c r="A402" s="16"/>
      <c r="B402" s="15"/>
      <c r="C402" s="18"/>
    </row>
    <row r="403" spans="1:3" x14ac:dyDescent="0.35">
      <c r="A403" s="16"/>
      <c r="B403" s="15"/>
      <c r="C403" s="18"/>
    </row>
    <row r="404" spans="1:3" x14ac:dyDescent="0.35">
      <c r="A404" s="16"/>
      <c r="B404" s="15"/>
      <c r="C404" s="18"/>
    </row>
    <row r="405" spans="1:3" x14ac:dyDescent="0.35">
      <c r="A405" s="16"/>
      <c r="B405" s="15"/>
      <c r="C405" s="18"/>
    </row>
    <row r="406" spans="1:3" x14ac:dyDescent="0.35">
      <c r="A406" s="16"/>
      <c r="B406" s="15"/>
      <c r="C406" s="18"/>
    </row>
    <row r="407" spans="1:3" x14ac:dyDescent="0.35">
      <c r="A407" s="16"/>
      <c r="B407" s="15"/>
      <c r="C407" s="18"/>
    </row>
    <row r="408" spans="1:3" x14ac:dyDescent="0.35">
      <c r="A408" s="16"/>
      <c r="B408" s="15"/>
      <c r="C408" s="18"/>
    </row>
    <row r="409" spans="1:3" x14ac:dyDescent="0.35">
      <c r="A409" s="16"/>
      <c r="B409" s="15"/>
      <c r="C409" s="18"/>
    </row>
    <row r="410" spans="1:3" x14ac:dyDescent="0.35">
      <c r="A410" s="16"/>
      <c r="B410" s="15"/>
      <c r="C410" s="18"/>
    </row>
    <row r="411" spans="1:3" x14ac:dyDescent="0.35">
      <c r="A411" s="16"/>
      <c r="B411" s="15"/>
      <c r="C411" s="18"/>
    </row>
    <row r="412" spans="1:3" x14ac:dyDescent="0.35">
      <c r="A412" s="16"/>
      <c r="B412" s="15"/>
      <c r="C412" s="18"/>
    </row>
    <row r="413" spans="1:3" x14ac:dyDescent="0.35">
      <c r="A413" s="16"/>
      <c r="B413" s="15"/>
      <c r="C413" s="18"/>
    </row>
    <row r="414" spans="1:3" x14ac:dyDescent="0.35">
      <c r="A414" s="16"/>
      <c r="B414" s="15"/>
      <c r="C414" s="18"/>
    </row>
    <row r="415" spans="1:3" x14ac:dyDescent="0.35">
      <c r="A415" s="16"/>
      <c r="B415" s="15"/>
      <c r="C415" s="18"/>
    </row>
    <row r="416" spans="1:3" x14ac:dyDescent="0.35">
      <c r="A416" s="16"/>
      <c r="B416" s="15"/>
      <c r="C416" s="18"/>
    </row>
    <row r="417" spans="1:3" x14ac:dyDescent="0.35">
      <c r="A417" s="16"/>
      <c r="B417" s="15"/>
      <c r="C417" s="18"/>
    </row>
    <row r="418" spans="1:3" x14ac:dyDescent="0.35">
      <c r="A418" s="16"/>
      <c r="B418" s="15"/>
      <c r="C418" s="18"/>
    </row>
    <row r="419" spans="1:3" x14ac:dyDescent="0.35">
      <c r="A419" s="16"/>
      <c r="B419" s="15"/>
      <c r="C419" s="18"/>
    </row>
    <row r="420" spans="1:3" x14ac:dyDescent="0.35">
      <c r="A420" s="16"/>
      <c r="B420" s="15"/>
      <c r="C420" s="18"/>
    </row>
    <row r="421" spans="1:3" x14ac:dyDescent="0.35">
      <c r="A421" s="16"/>
      <c r="B421" s="15"/>
      <c r="C421" s="18"/>
    </row>
    <row r="422" spans="1:3" x14ac:dyDescent="0.35">
      <c r="A422" s="16"/>
      <c r="B422" s="15"/>
      <c r="C422" s="18"/>
    </row>
    <row r="423" spans="1:3" x14ac:dyDescent="0.35">
      <c r="A423" s="16"/>
      <c r="B423" s="15"/>
      <c r="C423" s="18"/>
    </row>
    <row r="424" spans="1:3" x14ac:dyDescent="0.35">
      <c r="A424" s="16"/>
      <c r="B424" s="15"/>
      <c r="C424" s="18"/>
    </row>
    <row r="425" spans="1:3" x14ac:dyDescent="0.35">
      <c r="A425" s="16"/>
      <c r="B425" s="15"/>
      <c r="C425" s="18"/>
    </row>
    <row r="426" spans="1:3" x14ac:dyDescent="0.35">
      <c r="A426" s="16"/>
      <c r="B426" s="15"/>
      <c r="C426" s="18"/>
    </row>
    <row r="427" spans="1:3" x14ac:dyDescent="0.35">
      <c r="A427" s="16"/>
      <c r="B427" s="15"/>
      <c r="C427" s="18"/>
    </row>
    <row r="428" spans="1:3" x14ac:dyDescent="0.35">
      <c r="A428" s="16"/>
      <c r="B428" s="15"/>
      <c r="C428" s="18"/>
    </row>
    <row r="429" spans="1:3" x14ac:dyDescent="0.35">
      <c r="A429" s="16"/>
      <c r="B429" s="15"/>
      <c r="C429" s="18"/>
    </row>
    <row r="430" spans="1:3" x14ac:dyDescent="0.35">
      <c r="A430" s="16"/>
      <c r="B430" s="15"/>
      <c r="C430" s="18"/>
    </row>
    <row r="431" spans="1:3" x14ac:dyDescent="0.35">
      <c r="A431" s="16"/>
      <c r="B431" s="15"/>
      <c r="C431" s="18"/>
    </row>
    <row r="432" spans="1:3" x14ac:dyDescent="0.35">
      <c r="A432" s="16"/>
      <c r="B432" s="15"/>
      <c r="C432" s="18"/>
    </row>
    <row r="433" spans="1:3" x14ac:dyDescent="0.35">
      <c r="A433" s="16"/>
      <c r="B433" s="15"/>
      <c r="C433" s="18"/>
    </row>
    <row r="434" spans="1:3" x14ac:dyDescent="0.35">
      <c r="A434" s="16"/>
      <c r="B434" s="15"/>
      <c r="C434" s="18"/>
    </row>
    <row r="435" spans="1:3" x14ac:dyDescent="0.35">
      <c r="A435" s="16"/>
      <c r="B435" s="15"/>
      <c r="C435" s="18"/>
    </row>
    <row r="436" spans="1:3" x14ac:dyDescent="0.35">
      <c r="A436" s="16"/>
      <c r="B436" s="15"/>
      <c r="C436" s="18"/>
    </row>
    <row r="437" spans="1:3" x14ac:dyDescent="0.35">
      <c r="A437" s="16"/>
      <c r="B437" s="15"/>
      <c r="C437" s="18"/>
    </row>
    <row r="438" spans="1:3" x14ac:dyDescent="0.35">
      <c r="A438" s="16"/>
      <c r="B438" s="15"/>
      <c r="C438" s="18"/>
    </row>
    <row r="439" spans="1:3" x14ac:dyDescent="0.35">
      <c r="A439" s="16"/>
      <c r="B439" s="15"/>
      <c r="C439" s="18"/>
    </row>
    <row r="440" spans="1:3" x14ac:dyDescent="0.35">
      <c r="A440" s="16"/>
      <c r="B440" s="15"/>
      <c r="C440" s="18"/>
    </row>
    <row r="441" spans="1:3" x14ac:dyDescent="0.35">
      <c r="A441" s="16"/>
      <c r="B441" s="15"/>
      <c r="C441" s="18"/>
    </row>
    <row r="442" spans="1:3" x14ac:dyDescent="0.35">
      <c r="A442" s="16"/>
      <c r="B442" s="15"/>
      <c r="C442" s="18"/>
    </row>
    <row r="443" spans="1:3" x14ac:dyDescent="0.35">
      <c r="A443" s="16"/>
      <c r="B443" s="15"/>
      <c r="C443" s="18"/>
    </row>
    <row r="444" spans="1:3" x14ac:dyDescent="0.35">
      <c r="A444" s="16"/>
      <c r="B444" s="15"/>
      <c r="C444" s="18"/>
    </row>
    <row r="445" spans="1:3" x14ac:dyDescent="0.35">
      <c r="A445" s="16"/>
      <c r="B445" s="15"/>
      <c r="C445" s="18"/>
    </row>
    <row r="446" spans="1:3" x14ac:dyDescent="0.35">
      <c r="A446" s="16"/>
      <c r="B446" s="15"/>
      <c r="C446" s="18"/>
    </row>
    <row r="447" spans="1:3" x14ac:dyDescent="0.35">
      <c r="A447" s="16"/>
      <c r="B447" s="15"/>
      <c r="C447" s="18"/>
    </row>
    <row r="448" spans="1:3" x14ac:dyDescent="0.35">
      <c r="A448" s="16"/>
      <c r="B448" s="15"/>
      <c r="C448" s="18"/>
    </row>
    <row r="449" spans="1:3" x14ac:dyDescent="0.35">
      <c r="A449" s="16"/>
      <c r="B449" s="15"/>
      <c r="C449" s="18"/>
    </row>
    <row r="450" spans="1:3" x14ac:dyDescent="0.35">
      <c r="A450" s="16"/>
      <c r="B450" s="15"/>
      <c r="C450" s="18"/>
    </row>
    <row r="451" spans="1:3" x14ac:dyDescent="0.35">
      <c r="A451" s="16"/>
      <c r="B451" s="15"/>
      <c r="C451" s="18"/>
    </row>
    <row r="452" spans="1:3" x14ac:dyDescent="0.35">
      <c r="A452" s="16"/>
      <c r="B452" s="15"/>
      <c r="C452" s="18"/>
    </row>
    <row r="453" spans="1:3" x14ac:dyDescent="0.35">
      <c r="A453" s="16"/>
      <c r="B453" s="15"/>
      <c r="C453" s="18"/>
    </row>
    <row r="454" spans="1:3" x14ac:dyDescent="0.35">
      <c r="A454" s="16"/>
      <c r="B454" s="15"/>
      <c r="C454" s="18"/>
    </row>
    <row r="455" spans="1:3" x14ac:dyDescent="0.35">
      <c r="A455" s="16"/>
      <c r="B455" s="15"/>
      <c r="C455" s="18"/>
    </row>
    <row r="456" spans="1:3" x14ac:dyDescent="0.35">
      <c r="A456" s="16"/>
      <c r="B456" s="15"/>
      <c r="C456" s="18"/>
    </row>
    <row r="457" spans="1:3" x14ac:dyDescent="0.35">
      <c r="A457" s="16"/>
      <c r="B457" s="15"/>
      <c r="C457" s="18"/>
    </row>
    <row r="458" spans="1:3" x14ac:dyDescent="0.35">
      <c r="A458" s="16"/>
      <c r="B458" s="15"/>
      <c r="C458" s="18"/>
    </row>
    <row r="459" spans="1:3" x14ac:dyDescent="0.35">
      <c r="A459" s="16"/>
      <c r="B459" s="15"/>
      <c r="C459" s="18"/>
    </row>
    <row r="460" spans="1:3" x14ac:dyDescent="0.35">
      <c r="A460" s="16"/>
      <c r="B460" s="15"/>
      <c r="C460" s="18"/>
    </row>
    <row r="461" spans="1:3" x14ac:dyDescent="0.35">
      <c r="A461" s="16"/>
      <c r="B461" s="15"/>
      <c r="C461" s="18"/>
    </row>
    <row r="462" spans="1:3" x14ac:dyDescent="0.35">
      <c r="A462" s="16"/>
      <c r="B462" s="15"/>
      <c r="C462" s="18"/>
    </row>
    <row r="463" spans="1:3" x14ac:dyDescent="0.35">
      <c r="A463" s="16"/>
      <c r="B463" s="15"/>
      <c r="C463" s="18"/>
    </row>
    <row r="464" spans="1:3" x14ac:dyDescent="0.35">
      <c r="A464" s="16"/>
      <c r="B464" s="15"/>
      <c r="C464" s="18"/>
    </row>
    <row r="465" spans="1:3" x14ac:dyDescent="0.35">
      <c r="A465" s="16"/>
      <c r="B465" s="15"/>
      <c r="C465" s="18"/>
    </row>
    <row r="466" spans="1:3" x14ac:dyDescent="0.35">
      <c r="A466" s="16"/>
      <c r="B466" s="15"/>
      <c r="C466" s="18"/>
    </row>
    <row r="467" spans="1:3" x14ac:dyDescent="0.35">
      <c r="A467" s="16"/>
      <c r="B467" s="15"/>
      <c r="C467" s="18"/>
    </row>
    <row r="468" spans="1:3" x14ac:dyDescent="0.35">
      <c r="A468" s="16"/>
      <c r="B468" s="15"/>
      <c r="C468" s="18"/>
    </row>
    <row r="469" spans="1:3" x14ac:dyDescent="0.35">
      <c r="A469" s="16"/>
      <c r="B469" s="15"/>
      <c r="C469" s="18"/>
    </row>
    <row r="470" spans="1:3" x14ac:dyDescent="0.35">
      <c r="A470" s="16"/>
      <c r="B470" s="15"/>
      <c r="C470" s="18"/>
    </row>
    <row r="471" spans="1:3" x14ac:dyDescent="0.35">
      <c r="A471" s="16"/>
      <c r="B471" s="15"/>
      <c r="C471" s="20"/>
    </row>
    <row r="472" spans="1:3" x14ac:dyDescent="0.35">
      <c r="A472" s="16"/>
      <c r="B472" s="17"/>
      <c r="C472" s="18"/>
    </row>
    <row r="473" spans="1:3" x14ac:dyDescent="0.35">
      <c r="A473" s="16"/>
      <c r="B473" s="15"/>
      <c r="C473" s="18"/>
    </row>
    <row r="474" spans="1:3" x14ac:dyDescent="0.35">
      <c r="A474" s="16"/>
      <c r="B474" s="15"/>
      <c r="C474" s="18"/>
    </row>
    <row r="475" spans="1:3" x14ac:dyDescent="0.35">
      <c r="A475" s="16"/>
      <c r="B475" s="15"/>
      <c r="C475" s="18"/>
    </row>
    <row r="476" spans="1:3" x14ac:dyDescent="0.35">
      <c r="A476" s="16"/>
      <c r="B476" s="15"/>
      <c r="C476" s="18"/>
    </row>
    <row r="477" spans="1:3" x14ac:dyDescent="0.35">
      <c r="A477" s="16"/>
      <c r="B477" s="15"/>
      <c r="C477" s="18"/>
    </row>
    <row r="478" spans="1:3" x14ac:dyDescent="0.35">
      <c r="A478" s="16"/>
      <c r="B478" s="15"/>
      <c r="C478" s="18"/>
    </row>
    <row r="479" spans="1:3" x14ac:dyDescent="0.35">
      <c r="A479" s="16"/>
      <c r="B479" s="15"/>
      <c r="C479" s="18"/>
    </row>
    <row r="480" spans="1:3" x14ac:dyDescent="0.35">
      <c r="A480" s="16"/>
      <c r="B480" s="15"/>
      <c r="C480" s="18"/>
    </row>
    <row r="481" spans="1:3" x14ac:dyDescent="0.35">
      <c r="A481" s="16"/>
      <c r="B481" s="15"/>
      <c r="C481" s="18"/>
    </row>
    <row r="482" spans="1:3" x14ac:dyDescent="0.35">
      <c r="A482" s="16"/>
      <c r="B482" s="15"/>
      <c r="C482" s="18"/>
    </row>
    <row r="483" spans="1:3" x14ac:dyDescent="0.35">
      <c r="A483" s="16"/>
      <c r="B483" s="15"/>
      <c r="C483" s="18"/>
    </row>
    <row r="484" spans="1:3" x14ac:dyDescent="0.35">
      <c r="A484" s="16"/>
      <c r="B484" s="15"/>
      <c r="C484" s="18"/>
    </row>
    <row r="485" spans="1:3" x14ac:dyDescent="0.35">
      <c r="A485" s="16"/>
      <c r="B485" s="15"/>
      <c r="C485" s="18"/>
    </row>
    <row r="486" spans="1:3" x14ac:dyDescent="0.35">
      <c r="A486" s="16"/>
      <c r="B486" s="15"/>
      <c r="C486" s="18"/>
    </row>
    <row r="487" spans="1:3" x14ac:dyDescent="0.35">
      <c r="A487" s="16"/>
      <c r="B487" s="15"/>
      <c r="C487" s="18"/>
    </row>
    <row r="488" spans="1:3" x14ac:dyDescent="0.35">
      <c r="A488" s="16"/>
      <c r="B488" s="15"/>
      <c r="C488" s="18"/>
    </row>
    <row r="489" spans="1:3" x14ac:dyDescent="0.35">
      <c r="A489" s="16"/>
      <c r="B489" s="15"/>
      <c r="C489" s="18"/>
    </row>
    <row r="490" spans="1:3" x14ac:dyDescent="0.35">
      <c r="A490" s="16"/>
      <c r="B490" s="15"/>
      <c r="C490" s="18"/>
    </row>
    <row r="491" spans="1:3" x14ac:dyDescent="0.35">
      <c r="A491" s="16"/>
      <c r="B491" s="15"/>
      <c r="C491" s="18"/>
    </row>
    <row r="492" spans="1:3" x14ac:dyDescent="0.35">
      <c r="A492" s="16"/>
      <c r="B492" s="15"/>
      <c r="C492" s="18"/>
    </row>
    <row r="493" spans="1:3" x14ac:dyDescent="0.35">
      <c r="A493" s="16"/>
      <c r="B493" s="15"/>
      <c r="C493" s="18"/>
    </row>
    <row r="494" spans="1:3" x14ac:dyDescent="0.35">
      <c r="A494" s="16"/>
      <c r="B494" s="15"/>
      <c r="C494" s="18"/>
    </row>
    <row r="495" spans="1:3" x14ac:dyDescent="0.35">
      <c r="A495" s="16"/>
      <c r="B495" s="15"/>
      <c r="C495" s="18"/>
    </row>
    <row r="496" spans="1:3" x14ac:dyDescent="0.35">
      <c r="A496" s="16"/>
      <c r="B496" s="15"/>
      <c r="C496" s="18"/>
    </row>
    <row r="497" spans="1:3" x14ac:dyDescent="0.35">
      <c r="A497" s="16"/>
      <c r="B497" s="15"/>
      <c r="C497" s="18"/>
    </row>
    <row r="498" spans="1:3" x14ac:dyDescent="0.35">
      <c r="A498" s="16"/>
      <c r="B498" s="15"/>
      <c r="C498" s="18"/>
    </row>
    <row r="499" spans="1:3" x14ac:dyDescent="0.35">
      <c r="A499" s="16"/>
      <c r="B499" s="15"/>
      <c r="C499" s="18"/>
    </row>
    <row r="500" spans="1:3" x14ac:dyDescent="0.35">
      <c r="A500" s="16"/>
      <c r="B500" s="15"/>
      <c r="C500" s="18"/>
    </row>
    <row r="501" spans="1:3" x14ac:dyDescent="0.35">
      <c r="A501" s="16"/>
      <c r="B501" s="15"/>
      <c r="C501" s="18"/>
    </row>
    <row r="502" spans="1:3" x14ac:dyDescent="0.35">
      <c r="A502" s="16"/>
      <c r="B502" s="15"/>
      <c r="C502" s="18"/>
    </row>
    <row r="503" spans="1:3" x14ac:dyDescent="0.35">
      <c r="A503" s="16"/>
      <c r="B503" s="15"/>
      <c r="C503" s="18"/>
    </row>
    <row r="504" spans="1:3" x14ac:dyDescent="0.35">
      <c r="A504" s="16"/>
      <c r="B504" s="15"/>
      <c r="C504" s="18"/>
    </row>
    <row r="505" spans="1:3" x14ac:dyDescent="0.35">
      <c r="A505" s="16"/>
      <c r="B505" s="15"/>
      <c r="C505" s="18"/>
    </row>
    <row r="506" spans="1:3" x14ac:dyDescent="0.35">
      <c r="A506" s="16"/>
      <c r="B506" s="15"/>
      <c r="C506" s="18"/>
    </row>
    <row r="507" spans="1:3" x14ac:dyDescent="0.35">
      <c r="A507" s="16"/>
      <c r="B507" s="15"/>
      <c r="C507" s="18"/>
    </row>
    <row r="508" spans="1:3" x14ac:dyDescent="0.35">
      <c r="A508" s="16"/>
      <c r="B508" s="15"/>
      <c r="C508" s="18"/>
    </row>
    <row r="509" spans="1:3" x14ac:dyDescent="0.35">
      <c r="A509" s="16"/>
      <c r="B509" s="15"/>
      <c r="C509" s="18"/>
    </row>
    <row r="510" spans="1:3" x14ac:dyDescent="0.35">
      <c r="A510" s="16"/>
      <c r="B510" s="15"/>
      <c r="C510" s="18"/>
    </row>
    <row r="511" spans="1:3" x14ac:dyDescent="0.35">
      <c r="A511" s="16"/>
      <c r="B511" s="15"/>
      <c r="C511" s="18"/>
    </row>
    <row r="512" spans="1:3" x14ac:dyDescent="0.35">
      <c r="A512" s="16"/>
      <c r="B512" s="15"/>
      <c r="C512" s="18"/>
    </row>
    <row r="513" spans="1:3" x14ac:dyDescent="0.35">
      <c r="A513" s="16"/>
      <c r="B513" s="15"/>
      <c r="C513" s="18"/>
    </row>
    <row r="514" spans="1:3" x14ac:dyDescent="0.35">
      <c r="A514" s="16"/>
      <c r="B514" s="15"/>
      <c r="C514" s="18"/>
    </row>
    <row r="515" spans="1:3" x14ac:dyDescent="0.35">
      <c r="A515" s="16"/>
      <c r="B515" s="15"/>
      <c r="C515" s="18"/>
    </row>
    <row r="516" spans="1:3" x14ac:dyDescent="0.35">
      <c r="A516" s="16"/>
      <c r="B516" s="15"/>
      <c r="C516" s="18"/>
    </row>
    <row r="517" spans="1:3" x14ac:dyDescent="0.35">
      <c r="A517" s="16"/>
      <c r="B517" s="15"/>
      <c r="C517" s="18"/>
    </row>
    <row r="518" spans="1:3" x14ac:dyDescent="0.35">
      <c r="A518" s="16"/>
      <c r="B518" s="15"/>
      <c r="C518" s="18"/>
    </row>
    <row r="519" spans="1:3" x14ac:dyDescent="0.35">
      <c r="A519" s="16"/>
      <c r="B519" s="15"/>
      <c r="C519" s="18"/>
    </row>
    <row r="520" spans="1:3" x14ac:dyDescent="0.35">
      <c r="A520" s="16"/>
      <c r="B520" s="15"/>
      <c r="C520" s="18"/>
    </row>
    <row r="521" spans="1:3" x14ac:dyDescent="0.35">
      <c r="A521" s="16"/>
      <c r="B521" s="15"/>
      <c r="C521" s="18"/>
    </row>
    <row r="522" spans="1:3" x14ac:dyDescent="0.35">
      <c r="A522" s="16"/>
      <c r="B522" s="15"/>
      <c r="C522" s="18"/>
    </row>
    <row r="523" spans="1:3" x14ac:dyDescent="0.35">
      <c r="A523" s="16"/>
      <c r="B523" s="15"/>
      <c r="C523" s="18"/>
    </row>
    <row r="524" spans="1:3" x14ac:dyDescent="0.35">
      <c r="A524" s="16"/>
      <c r="B524" s="15"/>
      <c r="C524" s="18"/>
    </row>
    <row r="525" spans="1:3" x14ac:dyDescent="0.35">
      <c r="A525" s="16"/>
      <c r="B525" s="15"/>
      <c r="C525" s="18"/>
    </row>
    <row r="526" spans="1:3" x14ac:dyDescent="0.35">
      <c r="A526" s="16"/>
      <c r="B526" s="15"/>
      <c r="C526" s="18"/>
    </row>
    <row r="527" spans="1:3" x14ac:dyDescent="0.35">
      <c r="A527" s="16"/>
      <c r="B527" s="15"/>
      <c r="C527" s="18"/>
    </row>
    <row r="528" spans="1:3" x14ac:dyDescent="0.35">
      <c r="A528" s="16"/>
      <c r="B528" s="15"/>
      <c r="C528" s="18"/>
    </row>
    <row r="529" spans="1:3" x14ac:dyDescent="0.35">
      <c r="A529" s="16"/>
      <c r="B529" s="15"/>
      <c r="C529" s="18"/>
    </row>
    <row r="530" spans="1:3" x14ac:dyDescent="0.35">
      <c r="A530" s="16"/>
      <c r="B530" s="15"/>
      <c r="C530" s="18"/>
    </row>
    <row r="531" spans="1:3" x14ac:dyDescent="0.35">
      <c r="A531" s="16"/>
      <c r="B531" s="15"/>
      <c r="C531" s="18"/>
    </row>
    <row r="532" spans="1:3" x14ac:dyDescent="0.35">
      <c r="A532" s="16"/>
      <c r="B532" s="15"/>
      <c r="C532" s="18"/>
    </row>
    <row r="533" spans="1:3" x14ac:dyDescent="0.35">
      <c r="A533" s="16"/>
      <c r="B533" s="15"/>
      <c r="C533" s="18"/>
    </row>
    <row r="534" spans="1:3" x14ac:dyDescent="0.35">
      <c r="A534" s="16"/>
      <c r="B534" s="15"/>
      <c r="C534" s="18"/>
    </row>
    <row r="535" spans="1:3" x14ac:dyDescent="0.35">
      <c r="A535" s="16"/>
      <c r="B535" s="15"/>
      <c r="C535" s="18"/>
    </row>
    <row r="536" spans="1:3" x14ac:dyDescent="0.35">
      <c r="A536" s="16"/>
      <c r="B536" s="15"/>
      <c r="C536" s="18"/>
    </row>
    <row r="537" spans="1:3" x14ac:dyDescent="0.35">
      <c r="A537" s="16"/>
      <c r="B537" s="15"/>
      <c r="C537" s="18"/>
    </row>
    <row r="538" spans="1:3" x14ac:dyDescent="0.35">
      <c r="A538" s="16"/>
      <c r="B538" s="15"/>
      <c r="C538" s="18"/>
    </row>
    <row r="539" spans="1:3" x14ac:dyDescent="0.35">
      <c r="A539" s="16"/>
      <c r="B539" s="15"/>
      <c r="C539" s="18"/>
    </row>
    <row r="540" spans="1:3" x14ac:dyDescent="0.35">
      <c r="A540" s="16"/>
      <c r="B540" s="15"/>
      <c r="C540" s="18"/>
    </row>
    <row r="541" spans="1:3" x14ac:dyDescent="0.35">
      <c r="A541" s="16"/>
      <c r="B541" s="15"/>
      <c r="C541" s="18"/>
    </row>
    <row r="542" spans="1:3" x14ac:dyDescent="0.35">
      <c r="A542" s="16"/>
      <c r="B542" s="15"/>
      <c r="C542" s="18"/>
    </row>
    <row r="543" spans="1:3" x14ac:dyDescent="0.35">
      <c r="A543" s="16"/>
      <c r="B543" s="15"/>
      <c r="C543" s="18"/>
    </row>
    <row r="544" spans="1:3" x14ac:dyDescent="0.35">
      <c r="A544" s="16"/>
      <c r="B544" s="15"/>
      <c r="C544" s="18"/>
    </row>
    <row r="545" spans="1:3" x14ac:dyDescent="0.35">
      <c r="A545" s="16"/>
      <c r="B545" s="15"/>
      <c r="C545" s="18"/>
    </row>
    <row r="546" spans="1:3" x14ac:dyDescent="0.35">
      <c r="A546" s="16"/>
      <c r="B546" s="15"/>
      <c r="C546" s="18"/>
    </row>
    <row r="547" spans="1:3" x14ac:dyDescent="0.35">
      <c r="A547" s="16"/>
      <c r="B547" s="15"/>
      <c r="C547" s="18"/>
    </row>
    <row r="548" spans="1:3" x14ac:dyDescent="0.35">
      <c r="A548" s="16"/>
      <c r="B548" s="15"/>
      <c r="C548" s="18"/>
    </row>
    <row r="549" spans="1:3" x14ac:dyDescent="0.35">
      <c r="A549" s="16"/>
      <c r="B549" s="15"/>
      <c r="C549" s="18"/>
    </row>
    <row r="550" spans="1:3" x14ac:dyDescent="0.35">
      <c r="A550" s="16"/>
      <c r="B550" s="15"/>
      <c r="C550" s="18"/>
    </row>
    <row r="551" spans="1:3" x14ac:dyDescent="0.35">
      <c r="A551" s="16"/>
      <c r="B551" s="15"/>
      <c r="C551" s="18"/>
    </row>
    <row r="552" spans="1:3" x14ac:dyDescent="0.35">
      <c r="A552" s="16"/>
      <c r="B552" s="15"/>
      <c r="C552" s="18"/>
    </row>
    <row r="553" spans="1:3" x14ac:dyDescent="0.35">
      <c r="A553" s="16"/>
      <c r="B553" s="15"/>
      <c r="C553" s="18"/>
    </row>
    <row r="554" spans="1:3" x14ac:dyDescent="0.35">
      <c r="A554" s="16"/>
      <c r="B554" s="15"/>
      <c r="C554" s="18"/>
    </row>
    <row r="555" spans="1:3" x14ac:dyDescent="0.35">
      <c r="A555" s="16"/>
      <c r="B555" s="15"/>
      <c r="C555" s="18"/>
    </row>
    <row r="556" spans="1:3" x14ac:dyDescent="0.35">
      <c r="A556" s="16"/>
      <c r="B556" s="15"/>
      <c r="C556" s="18"/>
    </row>
    <row r="557" spans="1:3" x14ac:dyDescent="0.35">
      <c r="A557" s="16"/>
      <c r="B557" s="15"/>
      <c r="C557" s="18"/>
    </row>
    <row r="558" spans="1:3" x14ac:dyDescent="0.35">
      <c r="A558" s="16"/>
      <c r="B558" s="15"/>
      <c r="C558" s="18"/>
    </row>
    <row r="559" spans="1:3" x14ac:dyDescent="0.35">
      <c r="A559" s="16"/>
      <c r="B559" s="15"/>
      <c r="C559" s="18"/>
    </row>
    <row r="560" spans="1:3" x14ac:dyDescent="0.35">
      <c r="A560" s="16"/>
      <c r="B560" s="15"/>
      <c r="C560" s="18"/>
    </row>
    <row r="561" spans="1:3" x14ac:dyDescent="0.35">
      <c r="A561" s="16"/>
      <c r="B561" s="15"/>
      <c r="C561" s="18"/>
    </row>
    <row r="562" spans="1:3" x14ac:dyDescent="0.35">
      <c r="A562" s="16"/>
      <c r="B562" s="15"/>
      <c r="C562" s="18"/>
    </row>
    <row r="563" spans="1:3" x14ac:dyDescent="0.35">
      <c r="A563" s="16"/>
      <c r="B563" s="15"/>
      <c r="C563" s="18"/>
    </row>
    <row r="564" spans="1:3" x14ac:dyDescent="0.35">
      <c r="A564" s="16"/>
      <c r="B564" s="15"/>
      <c r="C564" s="18"/>
    </row>
    <row r="565" spans="1:3" x14ac:dyDescent="0.35">
      <c r="A565" s="16"/>
      <c r="B565" s="15"/>
      <c r="C565" s="18"/>
    </row>
    <row r="566" spans="1:3" x14ac:dyDescent="0.35">
      <c r="A566" s="16"/>
      <c r="B566" s="17"/>
      <c r="C566" s="18"/>
    </row>
    <row r="567" spans="1:3" x14ac:dyDescent="0.35">
      <c r="A567" s="16"/>
      <c r="B567" s="15"/>
      <c r="C567" s="18"/>
    </row>
    <row r="568" spans="1:3" x14ac:dyDescent="0.35">
      <c r="A568" s="16"/>
      <c r="B568" s="15"/>
      <c r="C568" s="18"/>
    </row>
    <row r="569" spans="1:3" x14ac:dyDescent="0.35">
      <c r="A569" s="16"/>
      <c r="B569" s="15"/>
      <c r="C569" s="18"/>
    </row>
    <row r="570" spans="1:3" x14ac:dyDescent="0.35">
      <c r="A570" s="16"/>
      <c r="B570" s="15"/>
      <c r="C570" s="18"/>
    </row>
    <row r="571" spans="1:3" x14ac:dyDescent="0.35">
      <c r="A571" s="16"/>
      <c r="B571" s="15"/>
      <c r="C571" s="18"/>
    </row>
    <row r="572" spans="1:3" x14ac:dyDescent="0.35">
      <c r="A572" s="16"/>
      <c r="B572" s="15"/>
      <c r="C572" s="18"/>
    </row>
    <row r="573" spans="1:3" x14ac:dyDescent="0.35">
      <c r="A573" s="16"/>
      <c r="B573" s="15"/>
      <c r="C573" s="18"/>
    </row>
    <row r="574" spans="1:3" x14ac:dyDescent="0.35">
      <c r="A574" s="16"/>
      <c r="B574" s="15"/>
      <c r="C574" s="18"/>
    </row>
    <row r="575" spans="1:3" x14ac:dyDescent="0.35">
      <c r="A575" s="16"/>
      <c r="B575" s="15"/>
      <c r="C575" s="18"/>
    </row>
    <row r="576" spans="1:3" x14ac:dyDescent="0.35">
      <c r="A576" s="16"/>
      <c r="B576" s="15"/>
      <c r="C576" s="18"/>
    </row>
    <row r="577" spans="1:3" x14ac:dyDescent="0.35">
      <c r="A577" s="16"/>
      <c r="B577" s="15"/>
      <c r="C577" s="18"/>
    </row>
    <row r="578" spans="1:3" x14ac:dyDescent="0.35">
      <c r="A578" s="16"/>
      <c r="B578" s="15"/>
      <c r="C578" s="18"/>
    </row>
    <row r="579" spans="1:3" x14ac:dyDescent="0.35">
      <c r="A579" s="16"/>
      <c r="B579" s="15"/>
      <c r="C579" s="18"/>
    </row>
    <row r="580" spans="1:3" x14ac:dyDescent="0.35">
      <c r="A580" s="16"/>
      <c r="B580" s="15"/>
      <c r="C580" s="18"/>
    </row>
    <row r="581" spans="1:3" x14ac:dyDescent="0.35">
      <c r="A581" s="16"/>
      <c r="B581" s="15"/>
      <c r="C581" s="18"/>
    </row>
    <row r="582" spans="1:3" x14ac:dyDescent="0.35">
      <c r="A582" s="16"/>
      <c r="B582" s="15"/>
      <c r="C582" s="18"/>
    </row>
    <row r="583" spans="1:3" x14ac:dyDescent="0.35">
      <c r="A583" s="16"/>
      <c r="B583" s="15"/>
      <c r="C583" s="18"/>
    </row>
    <row r="584" spans="1:3" x14ac:dyDescent="0.35">
      <c r="A584" s="16"/>
      <c r="B584" s="15"/>
      <c r="C584" s="18"/>
    </row>
    <row r="585" spans="1:3" x14ac:dyDescent="0.35">
      <c r="A585" s="16"/>
      <c r="B585" s="15"/>
      <c r="C585" s="18"/>
    </row>
    <row r="586" spans="1:3" x14ac:dyDescent="0.35">
      <c r="A586" s="16"/>
      <c r="B586" s="15"/>
      <c r="C586" s="18"/>
    </row>
    <row r="587" spans="1:3" x14ac:dyDescent="0.35">
      <c r="A587" s="16"/>
      <c r="B587" s="15"/>
      <c r="C587" s="18"/>
    </row>
    <row r="588" spans="1:3" x14ac:dyDescent="0.35">
      <c r="A588" s="16"/>
      <c r="B588" s="15"/>
      <c r="C588" s="18"/>
    </row>
    <row r="589" spans="1:3" x14ac:dyDescent="0.35">
      <c r="A589" s="16"/>
      <c r="B589" s="15"/>
      <c r="C589" s="18"/>
    </row>
    <row r="590" spans="1:3" x14ac:dyDescent="0.35">
      <c r="A590" s="16"/>
      <c r="B590" s="15"/>
      <c r="C590" s="18"/>
    </row>
    <row r="591" spans="1:3" x14ac:dyDescent="0.35">
      <c r="A591" s="16"/>
      <c r="B591" s="15"/>
      <c r="C591" s="18"/>
    </row>
    <row r="592" spans="1:3" x14ac:dyDescent="0.35">
      <c r="A592" s="16"/>
      <c r="B592" s="15"/>
      <c r="C592" s="18"/>
    </row>
    <row r="593" spans="1:3" x14ac:dyDescent="0.35">
      <c r="A593" s="16"/>
      <c r="B593" s="15"/>
      <c r="C593" s="18"/>
    </row>
    <row r="594" spans="1:3" x14ac:dyDescent="0.35">
      <c r="A594" s="16"/>
      <c r="B594" s="15"/>
      <c r="C594" s="18"/>
    </row>
    <row r="595" spans="1:3" x14ac:dyDescent="0.35">
      <c r="A595" s="16"/>
      <c r="B595" s="15"/>
      <c r="C595" s="18"/>
    </row>
    <row r="596" spans="1:3" x14ac:dyDescent="0.35">
      <c r="A596" s="16"/>
      <c r="B596" s="15"/>
      <c r="C596" s="18"/>
    </row>
    <row r="597" spans="1:3" x14ac:dyDescent="0.35">
      <c r="A597" s="16"/>
      <c r="B597" s="15"/>
      <c r="C597" s="18"/>
    </row>
    <row r="598" spans="1:3" x14ac:dyDescent="0.35">
      <c r="A598" s="16"/>
      <c r="B598" s="15"/>
      <c r="C598" s="18"/>
    </row>
    <row r="599" spans="1:3" x14ac:dyDescent="0.35">
      <c r="A599" s="16"/>
      <c r="B599" s="15"/>
      <c r="C599" s="18"/>
    </row>
    <row r="600" spans="1:3" x14ac:dyDescent="0.35">
      <c r="A600" s="16"/>
      <c r="B600" s="15"/>
      <c r="C600" s="18"/>
    </row>
    <row r="601" spans="1:3" x14ac:dyDescent="0.35">
      <c r="A601" s="16"/>
      <c r="B601" s="15"/>
      <c r="C601" s="18"/>
    </row>
    <row r="602" spans="1:3" x14ac:dyDescent="0.35">
      <c r="A602" s="16"/>
      <c r="B602" s="15"/>
      <c r="C602" s="18"/>
    </row>
    <row r="603" spans="1:3" x14ac:dyDescent="0.35">
      <c r="A603" s="16"/>
      <c r="B603" s="15"/>
      <c r="C603" s="18"/>
    </row>
    <row r="604" spans="1:3" x14ac:dyDescent="0.35">
      <c r="A604" s="16"/>
      <c r="B604" s="15"/>
      <c r="C604" s="18"/>
    </row>
    <row r="605" spans="1:3" x14ac:dyDescent="0.35">
      <c r="A605" s="16"/>
      <c r="B605" s="15"/>
      <c r="C605" s="18"/>
    </row>
    <row r="606" spans="1:3" x14ac:dyDescent="0.35">
      <c r="A606" s="16"/>
      <c r="B606" s="15"/>
      <c r="C606" s="18"/>
    </row>
    <row r="607" spans="1:3" x14ac:dyDescent="0.35">
      <c r="A607" s="16"/>
      <c r="B607" s="15"/>
      <c r="C607" s="18"/>
    </row>
    <row r="608" spans="1:3" x14ac:dyDescent="0.35">
      <c r="A608" s="16"/>
      <c r="B608" s="15"/>
      <c r="C608" s="18"/>
    </row>
    <row r="609" spans="1:3" x14ac:dyDescent="0.35">
      <c r="A609" s="16"/>
      <c r="B609" s="15"/>
      <c r="C609" s="18"/>
    </row>
    <row r="610" spans="1:3" x14ac:dyDescent="0.35">
      <c r="A610" s="16"/>
      <c r="B610" s="15"/>
      <c r="C610" s="18"/>
    </row>
    <row r="611" spans="1:3" x14ac:dyDescent="0.35">
      <c r="A611" s="16"/>
      <c r="B611" s="15"/>
      <c r="C611" s="18"/>
    </row>
    <row r="612" spans="1:3" x14ac:dyDescent="0.35">
      <c r="A612" s="16"/>
      <c r="B612" s="15"/>
      <c r="C612" s="18"/>
    </row>
    <row r="613" spans="1:3" x14ac:dyDescent="0.35">
      <c r="A613" s="16"/>
      <c r="B613" s="15"/>
      <c r="C613" s="18"/>
    </row>
    <row r="614" spans="1:3" x14ac:dyDescent="0.35">
      <c r="A614" s="16"/>
      <c r="B614" s="15"/>
      <c r="C614" s="18"/>
    </row>
    <row r="615" spans="1:3" x14ac:dyDescent="0.35">
      <c r="A615" s="16"/>
      <c r="B615" s="15"/>
      <c r="C615" s="18"/>
    </row>
    <row r="616" spans="1:3" x14ac:dyDescent="0.35">
      <c r="A616" s="16"/>
      <c r="B616" s="15"/>
      <c r="C616" s="18"/>
    </row>
    <row r="617" spans="1:3" x14ac:dyDescent="0.35">
      <c r="A617" s="16"/>
      <c r="B617" s="15"/>
      <c r="C617" s="18"/>
    </row>
    <row r="618" spans="1:3" x14ac:dyDescent="0.35">
      <c r="A618" s="16"/>
      <c r="B618" s="15"/>
      <c r="C618" s="18"/>
    </row>
    <row r="619" spans="1:3" x14ac:dyDescent="0.35">
      <c r="A619" s="16"/>
      <c r="B619" s="15"/>
      <c r="C619" s="18"/>
    </row>
    <row r="620" spans="1:3" x14ac:dyDescent="0.35">
      <c r="A620" s="16"/>
      <c r="B620" s="15"/>
      <c r="C620" s="18"/>
    </row>
    <row r="621" spans="1:3" x14ac:dyDescent="0.35">
      <c r="A621" s="16"/>
      <c r="B621" s="15"/>
      <c r="C621" s="18"/>
    </row>
    <row r="622" spans="1:3" x14ac:dyDescent="0.35">
      <c r="A622" s="16"/>
      <c r="B622" s="15"/>
      <c r="C622" s="18"/>
    </row>
    <row r="623" spans="1:3" x14ac:dyDescent="0.35">
      <c r="A623" s="16"/>
      <c r="B623" s="15"/>
      <c r="C623" s="18"/>
    </row>
    <row r="624" spans="1:3" x14ac:dyDescent="0.35">
      <c r="A624" s="16"/>
      <c r="B624" s="15"/>
      <c r="C624" s="18"/>
    </row>
    <row r="625" spans="1:3" x14ac:dyDescent="0.35">
      <c r="A625" s="16"/>
      <c r="B625" s="15"/>
      <c r="C625" s="18"/>
    </row>
    <row r="626" spans="1:3" x14ac:dyDescent="0.35">
      <c r="A626" s="16"/>
      <c r="B626" s="15"/>
      <c r="C626" s="18"/>
    </row>
    <row r="627" spans="1:3" x14ac:dyDescent="0.35">
      <c r="A627" s="16"/>
      <c r="B627" s="15"/>
      <c r="C627" s="18"/>
    </row>
    <row r="628" spans="1:3" x14ac:dyDescent="0.35">
      <c r="A628" s="16"/>
      <c r="B628" s="15"/>
      <c r="C628" s="18"/>
    </row>
    <row r="629" spans="1:3" x14ac:dyDescent="0.35">
      <c r="A629" s="16"/>
      <c r="B629" s="15"/>
      <c r="C629" s="18"/>
    </row>
    <row r="630" spans="1:3" x14ac:dyDescent="0.35">
      <c r="A630" s="16"/>
      <c r="B630" s="15"/>
      <c r="C630" s="18"/>
    </row>
    <row r="631" spans="1:3" x14ac:dyDescent="0.35">
      <c r="A631" s="16"/>
      <c r="B631" s="15"/>
      <c r="C631" s="18"/>
    </row>
    <row r="632" spans="1:3" x14ac:dyDescent="0.35">
      <c r="A632" s="16"/>
      <c r="B632" s="15"/>
      <c r="C632" s="18"/>
    </row>
    <row r="633" spans="1:3" x14ac:dyDescent="0.35">
      <c r="A633" s="16"/>
      <c r="B633" s="15"/>
      <c r="C633" s="18"/>
    </row>
    <row r="634" spans="1:3" x14ac:dyDescent="0.35">
      <c r="A634" s="16"/>
      <c r="B634" s="15"/>
      <c r="C634" s="18"/>
    </row>
    <row r="635" spans="1:3" x14ac:dyDescent="0.35">
      <c r="A635" s="16"/>
      <c r="B635" s="15"/>
      <c r="C635" s="18"/>
    </row>
    <row r="636" spans="1:3" x14ac:dyDescent="0.35">
      <c r="A636" s="16"/>
      <c r="B636" s="15"/>
      <c r="C636" s="18"/>
    </row>
    <row r="637" spans="1:3" x14ac:dyDescent="0.35">
      <c r="A637" s="16"/>
      <c r="B637" s="15"/>
      <c r="C637" s="18"/>
    </row>
    <row r="638" spans="1:3" x14ac:dyDescent="0.35">
      <c r="A638" s="16"/>
      <c r="B638" s="15"/>
      <c r="C638" s="18"/>
    </row>
    <row r="639" spans="1:3" x14ac:dyDescent="0.35">
      <c r="A639" s="16"/>
      <c r="B639" s="15"/>
      <c r="C639" s="18"/>
    </row>
    <row r="640" spans="1:3" x14ac:dyDescent="0.35">
      <c r="A640" s="16"/>
      <c r="B640" s="15"/>
      <c r="C640" s="18"/>
    </row>
    <row r="641" spans="1:3" x14ac:dyDescent="0.35">
      <c r="A641" s="16"/>
      <c r="B641" s="15"/>
      <c r="C641" s="18"/>
    </row>
    <row r="642" spans="1:3" x14ac:dyDescent="0.35">
      <c r="A642" s="16"/>
      <c r="B642" s="15"/>
      <c r="C642" s="18"/>
    </row>
    <row r="643" spans="1:3" x14ac:dyDescent="0.35">
      <c r="A643" s="16"/>
      <c r="B643" s="15"/>
      <c r="C643" s="18"/>
    </row>
    <row r="644" spans="1:3" x14ac:dyDescent="0.35">
      <c r="A644" s="16"/>
      <c r="B644" s="15"/>
      <c r="C644" s="18"/>
    </row>
    <row r="645" spans="1:3" x14ac:dyDescent="0.35">
      <c r="A645" s="16"/>
      <c r="B645" s="15"/>
      <c r="C645" s="18"/>
    </row>
    <row r="646" spans="1:3" x14ac:dyDescent="0.35">
      <c r="A646" s="16"/>
      <c r="B646" s="15"/>
      <c r="C646" s="18"/>
    </row>
    <row r="647" spans="1:3" x14ac:dyDescent="0.35">
      <c r="A647" s="16"/>
      <c r="B647" s="15"/>
      <c r="C647" s="18"/>
    </row>
    <row r="648" spans="1:3" x14ac:dyDescent="0.35">
      <c r="A648" s="16"/>
      <c r="B648" s="15"/>
      <c r="C648" s="18"/>
    </row>
    <row r="649" spans="1:3" x14ac:dyDescent="0.35">
      <c r="A649" s="16"/>
      <c r="B649" s="15"/>
      <c r="C649" s="18"/>
    </row>
    <row r="650" spans="1:3" x14ac:dyDescent="0.35">
      <c r="A650" s="16"/>
      <c r="B650" s="15"/>
      <c r="C650" s="18"/>
    </row>
    <row r="651" spans="1:3" x14ac:dyDescent="0.35">
      <c r="A651" s="16"/>
      <c r="B651" s="15"/>
      <c r="C651" s="18"/>
    </row>
    <row r="652" spans="1:3" x14ac:dyDescent="0.35">
      <c r="A652" s="16"/>
      <c r="B652" s="15"/>
      <c r="C652" s="18"/>
    </row>
    <row r="653" spans="1:3" x14ac:dyDescent="0.35">
      <c r="A653" s="16"/>
      <c r="B653" s="15"/>
      <c r="C653" s="18"/>
    </row>
    <row r="654" spans="1:3" x14ac:dyDescent="0.35">
      <c r="A654" s="16"/>
      <c r="B654" s="15"/>
      <c r="C654" s="18"/>
    </row>
    <row r="655" spans="1:3" x14ac:dyDescent="0.35">
      <c r="A655" s="16"/>
      <c r="B655" s="15"/>
      <c r="C655" s="18"/>
    </row>
    <row r="656" spans="1:3" x14ac:dyDescent="0.35">
      <c r="A656" s="16"/>
      <c r="B656" s="15"/>
      <c r="C656" s="18"/>
    </row>
    <row r="657" spans="1:3" x14ac:dyDescent="0.35">
      <c r="A657" s="16"/>
      <c r="B657" s="15"/>
      <c r="C657" s="18"/>
    </row>
    <row r="658" spans="1:3" x14ac:dyDescent="0.35">
      <c r="A658" s="16"/>
      <c r="B658" s="15"/>
      <c r="C658" s="18"/>
    </row>
    <row r="659" spans="1:3" x14ac:dyDescent="0.35">
      <c r="A659" s="16"/>
      <c r="B659" s="15"/>
      <c r="C659" s="18"/>
    </row>
    <row r="660" spans="1:3" x14ac:dyDescent="0.35">
      <c r="A660" s="16"/>
      <c r="B660" s="17"/>
      <c r="C660" s="18"/>
    </row>
    <row r="661" spans="1:3" x14ac:dyDescent="0.35">
      <c r="A661" s="16"/>
      <c r="B661" s="15"/>
      <c r="C661" s="18"/>
    </row>
    <row r="662" spans="1:3" x14ac:dyDescent="0.35">
      <c r="A662" s="16"/>
      <c r="B662" s="15"/>
      <c r="C662" s="18"/>
    </row>
    <row r="663" spans="1:3" x14ac:dyDescent="0.35">
      <c r="A663" s="16"/>
      <c r="B663" s="15"/>
      <c r="C663" s="18"/>
    </row>
    <row r="664" spans="1:3" x14ac:dyDescent="0.35">
      <c r="A664" s="16"/>
      <c r="B664" s="15"/>
      <c r="C664" s="18"/>
    </row>
    <row r="665" spans="1:3" x14ac:dyDescent="0.35">
      <c r="A665" s="16"/>
      <c r="B665" s="15"/>
      <c r="C665" s="18"/>
    </row>
    <row r="666" spans="1:3" x14ac:dyDescent="0.35">
      <c r="A666" s="16"/>
      <c r="B666" s="15"/>
      <c r="C666" s="18"/>
    </row>
    <row r="667" spans="1:3" x14ac:dyDescent="0.35">
      <c r="A667" s="16"/>
      <c r="B667" s="15"/>
      <c r="C667" s="18"/>
    </row>
    <row r="668" spans="1:3" x14ac:dyDescent="0.35">
      <c r="A668" s="16"/>
      <c r="B668" s="15"/>
      <c r="C668" s="18"/>
    </row>
    <row r="669" spans="1:3" x14ac:dyDescent="0.35">
      <c r="A669" s="16"/>
      <c r="B669" s="15"/>
      <c r="C669" s="18"/>
    </row>
    <row r="670" spans="1:3" x14ac:dyDescent="0.35">
      <c r="A670" s="16"/>
      <c r="B670" s="15"/>
      <c r="C670" s="18"/>
    </row>
    <row r="671" spans="1:3" x14ac:dyDescent="0.35">
      <c r="A671" s="16"/>
      <c r="B671" s="15"/>
      <c r="C671" s="18"/>
    </row>
    <row r="672" spans="1:3" x14ac:dyDescent="0.35">
      <c r="A672" s="16"/>
      <c r="B672" s="15"/>
      <c r="C672" s="18"/>
    </row>
    <row r="673" spans="1:3" x14ac:dyDescent="0.35">
      <c r="A673" s="16"/>
      <c r="B673" s="15"/>
      <c r="C673" s="18"/>
    </row>
    <row r="674" spans="1:3" x14ac:dyDescent="0.35">
      <c r="A674" s="16"/>
      <c r="B674" s="15"/>
      <c r="C674" s="18"/>
    </row>
    <row r="675" spans="1:3" x14ac:dyDescent="0.35">
      <c r="A675" s="16"/>
      <c r="B675" s="15"/>
      <c r="C675" s="18"/>
    </row>
    <row r="676" spans="1:3" x14ac:dyDescent="0.35">
      <c r="A676" s="16"/>
      <c r="B676" s="15"/>
      <c r="C676" s="18"/>
    </row>
    <row r="677" spans="1:3" x14ac:dyDescent="0.35">
      <c r="A677" s="16"/>
      <c r="B677" s="15"/>
      <c r="C677" s="18"/>
    </row>
    <row r="678" spans="1:3" x14ac:dyDescent="0.35">
      <c r="A678" s="16"/>
      <c r="B678" s="15"/>
      <c r="C678" s="18"/>
    </row>
    <row r="679" spans="1:3" x14ac:dyDescent="0.35">
      <c r="A679" s="16"/>
      <c r="B679" s="15"/>
      <c r="C679" s="18"/>
    </row>
    <row r="680" spans="1:3" x14ac:dyDescent="0.35">
      <c r="A680" s="16"/>
      <c r="B680" s="15"/>
      <c r="C680" s="18"/>
    </row>
    <row r="681" spans="1:3" x14ac:dyDescent="0.35">
      <c r="A681" s="16"/>
      <c r="B681" s="15"/>
      <c r="C681" s="18"/>
    </row>
    <row r="682" spans="1:3" x14ac:dyDescent="0.35">
      <c r="A682" s="16"/>
      <c r="B682" s="15"/>
      <c r="C682" s="18"/>
    </row>
    <row r="683" spans="1:3" x14ac:dyDescent="0.35">
      <c r="A683" s="16"/>
      <c r="B683" s="15"/>
      <c r="C683" s="18"/>
    </row>
    <row r="684" spans="1:3" x14ac:dyDescent="0.35">
      <c r="A684" s="16"/>
      <c r="B684" s="15"/>
      <c r="C684" s="18"/>
    </row>
    <row r="685" spans="1:3" x14ac:dyDescent="0.35">
      <c r="A685" s="16"/>
      <c r="B685" s="15"/>
      <c r="C685" s="18"/>
    </row>
    <row r="686" spans="1:3" x14ac:dyDescent="0.35">
      <c r="A686" s="16"/>
      <c r="B686" s="15"/>
      <c r="C686" s="18"/>
    </row>
    <row r="687" spans="1:3" x14ac:dyDescent="0.35">
      <c r="A687" s="16"/>
      <c r="B687" s="15"/>
      <c r="C687" s="18"/>
    </row>
    <row r="688" spans="1:3" x14ac:dyDescent="0.35">
      <c r="A688" s="16"/>
      <c r="B688" s="15"/>
      <c r="C688" s="18"/>
    </row>
    <row r="689" spans="1:3" x14ac:dyDescent="0.35">
      <c r="A689" s="16"/>
      <c r="B689" s="15"/>
      <c r="C689" s="18"/>
    </row>
    <row r="690" spans="1:3" x14ac:dyDescent="0.35">
      <c r="A690" s="16"/>
      <c r="B690" s="15"/>
      <c r="C690" s="18"/>
    </row>
    <row r="691" spans="1:3" x14ac:dyDescent="0.35">
      <c r="A691" s="16"/>
      <c r="B691" s="15"/>
      <c r="C691" s="18"/>
    </row>
    <row r="692" spans="1:3" x14ac:dyDescent="0.35">
      <c r="A692" s="16"/>
      <c r="B692" s="15"/>
      <c r="C692" s="18"/>
    </row>
    <row r="693" spans="1:3" x14ac:dyDescent="0.35">
      <c r="A693" s="16"/>
      <c r="B693" s="15"/>
      <c r="C693" s="18"/>
    </row>
    <row r="694" spans="1:3" x14ac:dyDescent="0.35">
      <c r="A694" s="16"/>
      <c r="B694" s="15"/>
      <c r="C694" s="18"/>
    </row>
    <row r="695" spans="1:3" x14ac:dyDescent="0.35">
      <c r="A695" s="16"/>
      <c r="B695" s="15"/>
      <c r="C695" s="18"/>
    </row>
    <row r="696" spans="1:3" x14ac:dyDescent="0.35">
      <c r="A696" s="16"/>
      <c r="B696" s="15"/>
      <c r="C696" s="18"/>
    </row>
    <row r="697" spans="1:3" x14ac:dyDescent="0.35">
      <c r="A697" s="16"/>
      <c r="B697" s="15"/>
      <c r="C697" s="18"/>
    </row>
    <row r="698" spans="1:3" x14ac:dyDescent="0.35">
      <c r="A698" s="16"/>
      <c r="B698" s="15"/>
      <c r="C698" s="18"/>
    </row>
    <row r="699" spans="1:3" x14ac:dyDescent="0.35">
      <c r="A699" s="16"/>
      <c r="B699" s="15"/>
      <c r="C699" s="18"/>
    </row>
    <row r="700" spans="1:3" x14ac:dyDescent="0.35">
      <c r="A700" s="16"/>
      <c r="B700" s="15"/>
      <c r="C700" s="18"/>
    </row>
    <row r="701" spans="1:3" x14ac:dyDescent="0.35">
      <c r="A701" s="16"/>
      <c r="B701" s="15"/>
      <c r="C701" s="18"/>
    </row>
    <row r="702" spans="1:3" x14ac:dyDescent="0.35">
      <c r="A702" s="16"/>
      <c r="B702" s="15"/>
      <c r="C702" s="18"/>
    </row>
    <row r="703" spans="1:3" x14ac:dyDescent="0.35">
      <c r="A703" s="16"/>
      <c r="B703" s="15"/>
      <c r="C703" s="18"/>
    </row>
    <row r="704" spans="1:3" x14ac:dyDescent="0.35">
      <c r="A704" s="16"/>
      <c r="B704" s="15"/>
      <c r="C704" s="18"/>
    </row>
    <row r="705" spans="1:3" x14ac:dyDescent="0.35">
      <c r="A705" s="16"/>
      <c r="B705" s="15"/>
      <c r="C705" s="18"/>
    </row>
    <row r="706" spans="1:3" x14ac:dyDescent="0.35">
      <c r="A706" s="16"/>
      <c r="B706" s="15"/>
      <c r="C706" s="18"/>
    </row>
    <row r="707" spans="1:3" x14ac:dyDescent="0.35">
      <c r="A707" s="16"/>
      <c r="B707" s="15"/>
      <c r="C707" s="18"/>
    </row>
    <row r="708" spans="1:3" x14ac:dyDescent="0.35">
      <c r="A708" s="16"/>
      <c r="B708" s="15"/>
      <c r="C708" s="18"/>
    </row>
    <row r="709" spans="1:3" x14ac:dyDescent="0.35">
      <c r="A709" s="16"/>
      <c r="B709" s="15"/>
      <c r="C709" s="18"/>
    </row>
    <row r="710" spans="1:3" x14ac:dyDescent="0.35">
      <c r="A710" s="16"/>
      <c r="B710" s="15"/>
      <c r="C710" s="18"/>
    </row>
    <row r="711" spans="1:3" x14ac:dyDescent="0.35">
      <c r="A711" s="16"/>
      <c r="B711" s="15"/>
      <c r="C711" s="18"/>
    </row>
    <row r="712" spans="1:3" x14ac:dyDescent="0.35">
      <c r="A712" s="16"/>
      <c r="B712" s="15"/>
      <c r="C712" s="18"/>
    </row>
    <row r="713" spans="1:3" x14ac:dyDescent="0.35">
      <c r="A713" s="16"/>
      <c r="B713" s="15"/>
      <c r="C713" s="18"/>
    </row>
    <row r="714" spans="1:3" x14ac:dyDescent="0.35">
      <c r="A714" s="16"/>
      <c r="B714" s="15"/>
      <c r="C714" s="18"/>
    </row>
    <row r="715" spans="1:3" x14ac:dyDescent="0.35">
      <c r="A715" s="16"/>
      <c r="B715" s="15"/>
      <c r="C715" s="18"/>
    </row>
    <row r="716" spans="1:3" x14ac:dyDescent="0.35">
      <c r="A716" s="16"/>
      <c r="B716" s="15"/>
      <c r="C716" s="18"/>
    </row>
    <row r="717" spans="1:3" x14ac:dyDescent="0.35">
      <c r="A717" s="16"/>
      <c r="B717" s="15"/>
      <c r="C717" s="18"/>
    </row>
    <row r="718" spans="1:3" x14ac:dyDescent="0.35">
      <c r="A718" s="16"/>
      <c r="B718" s="15"/>
      <c r="C718" s="18"/>
    </row>
    <row r="719" spans="1:3" x14ac:dyDescent="0.35">
      <c r="A719" s="16"/>
      <c r="B719" s="15"/>
      <c r="C719" s="18"/>
    </row>
    <row r="720" spans="1:3" x14ac:dyDescent="0.35">
      <c r="A720" s="16"/>
      <c r="B720" s="15"/>
      <c r="C720" s="18"/>
    </row>
    <row r="721" spans="1:3" x14ac:dyDescent="0.35">
      <c r="A721" s="16"/>
      <c r="B721" s="15"/>
      <c r="C721" s="18"/>
    </row>
    <row r="722" spans="1:3" x14ac:dyDescent="0.35">
      <c r="A722" s="16"/>
      <c r="B722" s="15"/>
      <c r="C722" s="18"/>
    </row>
    <row r="723" spans="1:3" x14ac:dyDescent="0.35">
      <c r="A723" s="16"/>
      <c r="B723" s="15"/>
      <c r="C723" s="18"/>
    </row>
    <row r="724" spans="1:3" x14ac:dyDescent="0.35">
      <c r="A724" s="16"/>
      <c r="B724" s="15"/>
      <c r="C724" s="18"/>
    </row>
    <row r="725" spans="1:3" x14ac:dyDescent="0.35">
      <c r="A725" s="16"/>
      <c r="B725" s="15"/>
      <c r="C725" s="18"/>
    </row>
    <row r="726" spans="1:3" x14ac:dyDescent="0.35">
      <c r="A726" s="16"/>
      <c r="B726" s="15"/>
      <c r="C726" s="18"/>
    </row>
    <row r="727" spans="1:3" x14ac:dyDescent="0.35">
      <c r="A727" s="16"/>
      <c r="B727" s="15"/>
      <c r="C727" s="18"/>
    </row>
    <row r="728" spans="1:3" x14ac:dyDescent="0.35">
      <c r="A728" s="16"/>
      <c r="B728" s="15"/>
      <c r="C728" s="18"/>
    </row>
    <row r="729" spans="1:3" x14ac:dyDescent="0.35">
      <c r="A729" s="16"/>
      <c r="B729" s="15"/>
      <c r="C729" s="18"/>
    </row>
    <row r="730" spans="1:3" x14ac:dyDescent="0.35">
      <c r="A730" s="16"/>
      <c r="B730" s="15"/>
      <c r="C730" s="18"/>
    </row>
    <row r="731" spans="1:3" x14ac:dyDescent="0.35">
      <c r="A731" s="16"/>
      <c r="B731" s="15"/>
      <c r="C731" s="18"/>
    </row>
    <row r="732" spans="1:3" x14ac:dyDescent="0.35">
      <c r="A732" s="16"/>
      <c r="B732" s="15"/>
      <c r="C732" s="18"/>
    </row>
    <row r="733" spans="1:3" x14ac:dyDescent="0.35">
      <c r="A733" s="16"/>
      <c r="B733" s="15"/>
      <c r="C733" s="18"/>
    </row>
    <row r="734" spans="1:3" x14ac:dyDescent="0.35">
      <c r="A734" s="16"/>
      <c r="B734" s="15"/>
      <c r="C734" s="18"/>
    </row>
    <row r="735" spans="1:3" x14ac:dyDescent="0.35">
      <c r="A735" s="16"/>
      <c r="B735" s="15"/>
      <c r="C735" s="18"/>
    </row>
    <row r="736" spans="1:3" x14ac:dyDescent="0.35">
      <c r="A736" s="16"/>
      <c r="B736" s="15"/>
      <c r="C736" s="18"/>
    </row>
    <row r="737" spans="1:3" x14ac:dyDescent="0.35">
      <c r="A737" s="16"/>
      <c r="B737" s="15"/>
      <c r="C737" s="18"/>
    </row>
    <row r="738" spans="1:3" x14ac:dyDescent="0.35">
      <c r="A738" s="16"/>
      <c r="B738" s="15"/>
      <c r="C738" s="18"/>
    </row>
    <row r="739" spans="1:3" x14ac:dyDescent="0.35">
      <c r="A739" s="16"/>
      <c r="B739" s="15"/>
      <c r="C739" s="18"/>
    </row>
    <row r="740" spans="1:3" x14ac:dyDescent="0.35">
      <c r="A740" s="16"/>
      <c r="B740" s="15"/>
      <c r="C740" s="18"/>
    </row>
    <row r="741" spans="1:3" x14ac:dyDescent="0.35">
      <c r="A741" s="16"/>
      <c r="B741" s="15"/>
      <c r="C741" s="18"/>
    </row>
    <row r="742" spans="1:3" x14ac:dyDescent="0.35">
      <c r="A742" s="16"/>
      <c r="B742" s="15"/>
      <c r="C742" s="18"/>
    </row>
    <row r="743" spans="1:3" x14ac:dyDescent="0.35">
      <c r="A743" s="16"/>
      <c r="B743" s="15"/>
      <c r="C743" s="18"/>
    </row>
    <row r="744" spans="1:3" x14ac:dyDescent="0.35">
      <c r="A744" s="16"/>
      <c r="B744" s="15"/>
      <c r="C744" s="18"/>
    </row>
    <row r="745" spans="1:3" x14ac:dyDescent="0.35">
      <c r="A745" s="16"/>
      <c r="B745" s="15"/>
      <c r="C745" s="18"/>
    </row>
    <row r="746" spans="1:3" x14ac:dyDescent="0.35">
      <c r="A746" s="16"/>
      <c r="B746" s="15"/>
      <c r="C746" s="18"/>
    </row>
    <row r="747" spans="1:3" x14ac:dyDescent="0.35">
      <c r="A747" s="16"/>
      <c r="B747" s="15"/>
      <c r="C747" s="18"/>
    </row>
    <row r="748" spans="1:3" x14ac:dyDescent="0.35">
      <c r="A748" s="16"/>
      <c r="B748" s="15"/>
      <c r="C748" s="18"/>
    </row>
    <row r="749" spans="1:3" x14ac:dyDescent="0.35">
      <c r="A749" s="16"/>
      <c r="B749" s="15"/>
      <c r="C749" s="18"/>
    </row>
    <row r="750" spans="1:3" x14ac:dyDescent="0.35">
      <c r="A750" s="16"/>
      <c r="B750" s="15"/>
      <c r="C750" s="18"/>
    </row>
    <row r="751" spans="1:3" x14ac:dyDescent="0.35">
      <c r="A751" s="16"/>
      <c r="B751" s="15"/>
      <c r="C751" s="18"/>
    </row>
    <row r="752" spans="1:3" x14ac:dyDescent="0.35">
      <c r="A752" s="16"/>
      <c r="B752" s="15"/>
      <c r="C752" s="18"/>
    </row>
    <row r="753" spans="1:3" x14ac:dyDescent="0.35">
      <c r="A753" s="16"/>
      <c r="B753" s="15"/>
      <c r="C753" s="18"/>
    </row>
    <row r="754" spans="1:3" x14ac:dyDescent="0.35">
      <c r="A754" s="16"/>
      <c r="B754" s="17"/>
      <c r="C754" s="18"/>
    </row>
    <row r="755" spans="1:3" x14ac:dyDescent="0.35">
      <c r="A755" s="16"/>
      <c r="B755" s="15"/>
      <c r="C755" s="18"/>
    </row>
    <row r="756" spans="1:3" x14ac:dyDescent="0.35">
      <c r="A756" s="16"/>
      <c r="B756" s="15"/>
      <c r="C756" s="18"/>
    </row>
    <row r="757" spans="1:3" x14ac:dyDescent="0.35">
      <c r="A757" s="16"/>
      <c r="B757" s="15"/>
      <c r="C757" s="18"/>
    </row>
    <row r="758" spans="1:3" x14ac:dyDescent="0.35">
      <c r="A758" s="16"/>
      <c r="B758" s="15"/>
      <c r="C758" s="18"/>
    </row>
    <row r="759" spans="1:3" x14ac:dyDescent="0.35">
      <c r="A759" s="16"/>
      <c r="B759" s="15"/>
      <c r="C759" s="18"/>
    </row>
    <row r="760" spans="1:3" x14ac:dyDescent="0.35">
      <c r="A760" s="16"/>
      <c r="B760" s="15"/>
      <c r="C760" s="18"/>
    </row>
    <row r="761" spans="1:3" x14ac:dyDescent="0.35">
      <c r="A761" s="16"/>
      <c r="B761" s="15"/>
      <c r="C761" s="18"/>
    </row>
    <row r="762" spans="1:3" x14ac:dyDescent="0.35">
      <c r="A762" s="16"/>
      <c r="B762" s="15"/>
      <c r="C762" s="18"/>
    </row>
    <row r="763" spans="1:3" x14ac:dyDescent="0.35">
      <c r="A763" s="16"/>
      <c r="B763" s="15"/>
      <c r="C763" s="18"/>
    </row>
    <row r="764" spans="1:3" x14ac:dyDescent="0.35">
      <c r="A764" s="16"/>
      <c r="B764" s="15"/>
      <c r="C764" s="18"/>
    </row>
    <row r="765" spans="1:3" x14ac:dyDescent="0.35">
      <c r="A765" s="16"/>
      <c r="B765" s="15"/>
      <c r="C765" s="18"/>
    </row>
    <row r="766" spans="1:3" x14ac:dyDescent="0.35">
      <c r="A766" s="16"/>
      <c r="B766" s="15"/>
      <c r="C766" s="18"/>
    </row>
    <row r="767" spans="1:3" x14ac:dyDescent="0.35">
      <c r="A767" s="16"/>
      <c r="B767" s="15"/>
      <c r="C767" s="18"/>
    </row>
    <row r="768" spans="1:3" x14ac:dyDescent="0.35">
      <c r="A768" s="16"/>
      <c r="B768" s="15"/>
      <c r="C768" s="18"/>
    </row>
    <row r="769" spans="1:3" x14ac:dyDescent="0.35">
      <c r="A769" s="16"/>
      <c r="B769" s="15"/>
      <c r="C769" s="18"/>
    </row>
    <row r="770" spans="1:3" x14ac:dyDescent="0.35">
      <c r="A770" s="16"/>
      <c r="B770" s="15"/>
      <c r="C770" s="18"/>
    </row>
    <row r="771" spans="1:3" x14ac:dyDescent="0.35">
      <c r="A771" s="16"/>
      <c r="B771" s="15"/>
      <c r="C771" s="18"/>
    </row>
    <row r="772" spans="1:3" x14ac:dyDescent="0.35">
      <c r="A772" s="16"/>
      <c r="B772" s="15"/>
      <c r="C772" s="18"/>
    </row>
    <row r="773" spans="1:3" x14ac:dyDescent="0.35">
      <c r="A773" s="16"/>
      <c r="B773" s="15"/>
      <c r="C773" s="18"/>
    </row>
    <row r="774" spans="1:3" x14ac:dyDescent="0.35">
      <c r="A774" s="16"/>
      <c r="B774" s="15"/>
      <c r="C774" s="18"/>
    </row>
    <row r="775" spans="1:3" x14ac:dyDescent="0.35">
      <c r="A775" s="16"/>
      <c r="B775" s="15"/>
      <c r="C775" s="18"/>
    </row>
    <row r="776" spans="1:3" x14ac:dyDescent="0.35">
      <c r="A776" s="16"/>
      <c r="B776" s="15"/>
      <c r="C776" s="18"/>
    </row>
    <row r="777" spans="1:3" x14ac:dyDescent="0.35">
      <c r="A777" s="16"/>
      <c r="B777" s="15"/>
      <c r="C777" s="18"/>
    </row>
    <row r="778" spans="1:3" x14ac:dyDescent="0.35">
      <c r="A778" s="16"/>
      <c r="B778" s="15"/>
      <c r="C778" s="18"/>
    </row>
    <row r="779" spans="1:3" x14ac:dyDescent="0.35">
      <c r="A779" s="16"/>
      <c r="B779" s="15"/>
      <c r="C779" s="18"/>
    </row>
    <row r="780" spans="1:3" x14ac:dyDescent="0.35">
      <c r="A780" s="19"/>
      <c r="B780" s="15"/>
      <c r="C780" s="18"/>
    </row>
    <row r="781" spans="1:3" x14ac:dyDescent="0.35">
      <c r="A781" s="19"/>
      <c r="B781" s="15"/>
      <c r="C781" s="18"/>
    </row>
    <row r="782" spans="1:3" x14ac:dyDescent="0.35">
      <c r="A782" s="19"/>
      <c r="B782" s="15"/>
      <c r="C782" s="18"/>
    </row>
    <row r="783" spans="1:3" x14ac:dyDescent="0.35">
      <c r="A783" s="19"/>
      <c r="B783" s="15"/>
      <c r="C783" s="18"/>
    </row>
    <row r="784" spans="1:3" x14ac:dyDescent="0.35">
      <c r="A784" s="19"/>
      <c r="B784" s="15"/>
      <c r="C784" s="18"/>
    </row>
    <row r="785" spans="1:3" x14ac:dyDescent="0.35">
      <c r="A785" s="19"/>
      <c r="B785" s="15"/>
      <c r="C785" s="18"/>
    </row>
    <row r="786" spans="1:3" x14ac:dyDescent="0.35">
      <c r="A786" s="19"/>
      <c r="B786" s="15"/>
      <c r="C786" s="18"/>
    </row>
    <row r="787" spans="1:3" x14ac:dyDescent="0.35">
      <c r="A787" s="19"/>
      <c r="B787" s="15"/>
      <c r="C787" s="18"/>
    </row>
    <row r="788" spans="1:3" x14ac:dyDescent="0.35">
      <c r="A788" s="19"/>
      <c r="B788" s="15"/>
      <c r="C788" s="18"/>
    </row>
    <row r="789" spans="1:3" x14ac:dyDescent="0.35">
      <c r="A789" s="19"/>
      <c r="B789" s="15"/>
      <c r="C789" s="18"/>
    </row>
    <row r="790" spans="1:3" x14ac:dyDescent="0.35">
      <c r="A790" s="19"/>
      <c r="B790" s="15"/>
      <c r="C790" s="18"/>
    </row>
    <row r="791" spans="1:3" x14ac:dyDescent="0.35">
      <c r="A791" s="19"/>
      <c r="B791" s="15"/>
      <c r="C791" s="18"/>
    </row>
    <row r="792" spans="1:3" x14ac:dyDescent="0.35">
      <c r="A792" s="19"/>
      <c r="B792" s="15"/>
      <c r="C792" s="18"/>
    </row>
    <row r="793" spans="1:3" x14ac:dyDescent="0.35">
      <c r="A793" s="19"/>
      <c r="B793" s="15"/>
      <c r="C793" s="18"/>
    </row>
    <row r="794" spans="1:3" x14ac:dyDescent="0.35">
      <c r="A794" s="19"/>
      <c r="B794" s="15"/>
      <c r="C794" s="18"/>
    </row>
    <row r="795" spans="1:3" x14ac:dyDescent="0.35">
      <c r="A795" s="19"/>
      <c r="B795" s="15"/>
      <c r="C795" s="18"/>
    </row>
    <row r="796" spans="1:3" x14ac:dyDescent="0.35">
      <c r="A796" s="19"/>
      <c r="B796" s="15"/>
      <c r="C796" s="18"/>
    </row>
    <row r="797" spans="1:3" x14ac:dyDescent="0.35">
      <c r="A797" s="19"/>
      <c r="B797" s="15"/>
      <c r="C797" s="18"/>
    </row>
    <row r="798" spans="1:3" x14ac:dyDescent="0.35">
      <c r="A798" s="19"/>
      <c r="B798" s="15"/>
      <c r="C798" s="18"/>
    </row>
    <row r="799" spans="1:3" x14ac:dyDescent="0.35">
      <c r="A799" s="19"/>
      <c r="B799" s="15"/>
      <c r="C799" s="18"/>
    </row>
    <row r="800" spans="1:3" x14ac:dyDescent="0.35">
      <c r="A800" s="19"/>
      <c r="B800" s="15"/>
      <c r="C800" s="18"/>
    </row>
    <row r="801" spans="1:3" x14ac:dyDescent="0.35">
      <c r="A801" s="19"/>
      <c r="B801" s="15"/>
      <c r="C801" s="18"/>
    </row>
    <row r="802" spans="1:3" x14ac:dyDescent="0.35">
      <c r="A802" s="19"/>
      <c r="B802" s="15"/>
      <c r="C802" s="18"/>
    </row>
    <row r="803" spans="1:3" x14ac:dyDescent="0.35">
      <c r="A803" s="19"/>
      <c r="B803" s="15"/>
      <c r="C803" s="18"/>
    </row>
    <row r="804" spans="1:3" x14ac:dyDescent="0.35">
      <c r="A804" s="19"/>
      <c r="B804" s="15"/>
      <c r="C804" s="18"/>
    </row>
    <row r="805" spans="1:3" x14ac:dyDescent="0.35">
      <c r="A805" s="19"/>
      <c r="B805" s="15"/>
      <c r="C805" s="18"/>
    </row>
    <row r="806" spans="1:3" x14ac:dyDescent="0.35">
      <c r="A806" s="19"/>
      <c r="B806" s="15"/>
      <c r="C806" s="18"/>
    </row>
    <row r="807" spans="1:3" x14ac:dyDescent="0.35">
      <c r="A807" s="19"/>
      <c r="B807" s="15"/>
      <c r="C807" s="18"/>
    </row>
    <row r="808" spans="1:3" x14ac:dyDescent="0.35">
      <c r="A808" s="19"/>
      <c r="B808" s="15"/>
      <c r="C808" s="18"/>
    </row>
    <row r="809" spans="1:3" x14ac:dyDescent="0.35">
      <c r="A809" s="19"/>
      <c r="B809" s="15"/>
      <c r="C809" s="18"/>
    </row>
    <row r="810" spans="1:3" x14ac:dyDescent="0.35">
      <c r="A810" s="19"/>
      <c r="B810" s="15"/>
      <c r="C810" s="18"/>
    </row>
    <row r="811" spans="1:3" x14ac:dyDescent="0.35">
      <c r="A811" s="19"/>
      <c r="B811" s="15"/>
      <c r="C811" s="18"/>
    </row>
    <row r="812" spans="1:3" x14ac:dyDescent="0.35">
      <c r="A812" s="19"/>
      <c r="B812" s="15"/>
      <c r="C812" s="18"/>
    </row>
    <row r="813" spans="1:3" x14ac:dyDescent="0.35">
      <c r="A813" s="19"/>
      <c r="B813" s="15"/>
      <c r="C813" s="18"/>
    </row>
    <row r="814" spans="1:3" x14ac:dyDescent="0.35">
      <c r="A814" s="19"/>
      <c r="B814" s="15"/>
      <c r="C814" s="18"/>
    </row>
    <row r="815" spans="1:3" x14ac:dyDescent="0.35">
      <c r="A815" s="19"/>
      <c r="B815" s="15"/>
      <c r="C815" s="18"/>
    </row>
    <row r="816" spans="1:3" x14ac:dyDescent="0.35">
      <c r="A816" s="19"/>
      <c r="B816" s="15"/>
      <c r="C816" s="18"/>
    </row>
    <row r="817" spans="1:3" x14ac:dyDescent="0.35">
      <c r="A817" s="19"/>
      <c r="B817" s="15"/>
      <c r="C817" s="18"/>
    </row>
    <row r="818" spans="1:3" x14ac:dyDescent="0.35">
      <c r="A818" s="19"/>
      <c r="B818" s="15"/>
      <c r="C818" s="18"/>
    </row>
    <row r="819" spans="1:3" x14ac:dyDescent="0.35">
      <c r="A819" s="19"/>
      <c r="B819" s="15"/>
      <c r="C819" s="18"/>
    </row>
    <row r="820" spans="1:3" x14ac:dyDescent="0.35">
      <c r="A820" s="19"/>
      <c r="B820" s="15"/>
      <c r="C820" s="18"/>
    </row>
    <row r="821" spans="1:3" x14ac:dyDescent="0.35">
      <c r="A821" s="19"/>
      <c r="B821" s="15"/>
      <c r="C821" s="18"/>
    </row>
    <row r="822" spans="1:3" x14ac:dyDescent="0.35">
      <c r="A822" s="19"/>
      <c r="B822" s="15"/>
      <c r="C822" s="18"/>
    </row>
    <row r="823" spans="1:3" x14ac:dyDescent="0.35">
      <c r="A823" s="19"/>
      <c r="B823" s="15"/>
      <c r="C823" s="18"/>
    </row>
    <row r="824" spans="1:3" x14ac:dyDescent="0.35">
      <c r="A824" s="19"/>
      <c r="B824" s="15"/>
      <c r="C824" s="18"/>
    </row>
    <row r="825" spans="1:3" x14ac:dyDescent="0.35">
      <c r="A825" s="19"/>
      <c r="B825" s="15"/>
      <c r="C825" s="18"/>
    </row>
    <row r="826" spans="1:3" x14ac:dyDescent="0.35">
      <c r="A826" s="19"/>
      <c r="B826" s="15"/>
      <c r="C826" s="18"/>
    </row>
    <row r="827" spans="1:3" x14ac:dyDescent="0.35">
      <c r="A827" s="19"/>
      <c r="B827" s="15"/>
      <c r="C827" s="18"/>
    </row>
    <row r="828" spans="1:3" x14ac:dyDescent="0.35">
      <c r="A828" s="19"/>
      <c r="B828" s="15"/>
      <c r="C828" s="18"/>
    </row>
    <row r="829" spans="1:3" x14ac:dyDescent="0.35">
      <c r="A829" s="19"/>
      <c r="B829" s="15"/>
      <c r="C829" s="18"/>
    </row>
    <row r="830" spans="1:3" x14ac:dyDescent="0.35">
      <c r="A830" s="19"/>
      <c r="B830" s="15"/>
      <c r="C830" s="18"/>
    </row>
    <row r="831" spans="1:3" x14ac:dyDescent="0.35">
      <c r="A831" s="19"/>
      <c r="B831" s="15"/>
      <c r="C831" s="18"/>
    </row>
    <row r="832" spans="1:3" x14ac:dyDescent="0.35">
      <c r="A832" s="19"/>
      <c r="B832" s="15"/>
      <c r="C832" s="18"/>
    </row>
    <row r="833" spans="1:3" x14ac:dyDescent="0.35">
      <c r="A833" s="19"/>
      <c r="B833" s="15"/>
      <c r="C833" s="18"/>
    </row>
    <row r="834" spans="1:3" x14ac:dyDescent="0.35">
      <c r="A834" s="19"/>
      <c r="B834" s="15"/>
      <c r="C834" s="18"/>
    </row>
    <row r="835" spans="1:3" x14ac:dyDescent="0.35">
      <c r="A835" s="19"/>
      <c r="B835" s="15"/>
      <c r="C835" s="18"/>
    </row>
    <row r="836" spans="1:3" x14ac:dyDescent="0.35">
      <c r="A836" s="19"/>
      <c r="B836" s="15"/>
      <c r="C836" s="18"/>
    </row>
    <row r="837" spans="1:3" x14ac:dyDescent="0.35">
      <c r="A837" s="19"/>
      <c r="B837" s="15"/>
      <c r="C837" s="18"/>
    </row>
    <row r="838" spans="1:3" x14ac:dyDescent="0.35">
      <c r="A838" s="19"/>
      <c r="B838" s="15"/>
      <c r="C838" s="18"/>
    </row>
    <row r="839" spans="1:3" x14ac:dyDescent="0.35">
      <c r="A839" s="19"/>
      <c r="B839" s="15"/>
      <c r="C839" s="18"/>
    </row>
    <row r="840" spans="1:3" x14ac:dyDescent="0.35">
      <c r="A840" s="19"/>
      <c r="B840" s="15"/>
      <c r="C840" s="18"/>
    </row>
    <row r="841" spans="1:3" x14ac:dyDescent="0.35">
      <c r="A841" s="19"/>
      <c r="B841" s="15"/>
      <c r="C841" s="18"/>
    </row>
    <row r="842" spans="1:3" x14ac:dyDescent="0.35">
      <c r="A842" s="19"/>
      <c r="B842" s="15"/>
      <c r="C842" s="18"/>
    </row>
    <row r="843" spans="1:3" x14ac:dyDescent="0.35">
      <c r="A843" s="19"/>
      <c r="B843" s="15"/>
      <c r="C843" s="18"/>
    </row>
    <row r="844" spans="1:3" x14ac:dyDescent="0.35">
      <c r="A844" s="19"/>
      <c r="B844" s="15"/>
      <c r="C844" s="18"/>
    </row>
    <row r="845" spans="1:3" x14ac:dyDescent="0.35">
      <c r="A845" s="19"/>
      <c r="B845" s="15"/>
      <c r="C845" s="18"/>
    </row>
    <row r="846" spans="1:3" x14ac:dyDescent="0.35">
      <c r="A846" s="19"/>
      <c r="B846" s="15"/>
      <c r="C846" s="18"/>
    </row>
    <row r="847" spans="1:3" x14ac:dyDescent="0.35">
      <c r="A847" s="19"/>
      <c r="B847" s="15"/>
      <c r="C847" s="18"/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1A648-E16E-4DE6-AF74-F79174DABC69}">
  <sheetPr codeName="Planilha6"/>
  <dimension ref="A1:E78"/>
  <sheetViews>
    <sheetView workbookViewId="0"/>
  </sheetViews>
  <sheetFormatPr defaultRowHeight="14.5" x14ac:dyDescent="0.35"/>
  <cols>
    <col min="1" max="1" width="11" bestFit="1" customWidth="1"/>
    <col min="2" max="2" width="10.7265625" bestFit="1" customWidth="1"/>
    <col min="3" max="3" width="14.26953125" bestFit="1" customWidth="1"/>
    <col min="4" max="4" width="33.54296875" bestFit="1" customWidth="1"/>
    <col min="5" max="5" width="37.1796875" bestFit="1" customWidth="1"/>
  </cols>
  <sheetData>
    <row r="1" spans="1:5" x14ac:dyDescent="0.35">
      <c r="A1" t="s">
        <v>7</v>
      </c>
      <c r="B1" t="s">
        <v>34</v>
      </c>
      <c r="C1" t="s">
        <v>8</v>
      </c>
      <c r="D1" t="s">
        <v>35</v>
      </c>
      <c r="E1" t="s">
        <v>1987</v>
      </c>
    </row>
    <row r="2" spans="1:5" x14ac:dyDescent="0.35">
      <c r="A2" t="s">
        <v>11</v>
      </c>
      <c r="B2" s="8">
        <v>45444</v>
      </c>
      <c r="C2" t="s">
        <v>1988</v>
      </c>
      <c r="D2">
        <v>17968</v>
      </c>
      <c r="E2">
        <v>10999</v>
      </c>
    </row>
    <row r="3" spans="1:5" x14ac:dyDescent="0.35">
      <c r="A3" t="s">
        <v>11</v>
      </c>
      <c r="B3" s="8">
        <v>45413</v>
      </c>
      <c r="C3" t="s">
        <v>1988</v>
      </c>
      <c r="D3">
        <v>18738</v>
      </c>
      <c r="E3">
        <v>13422</v>
      </c>
    </row>
    <row r="4" spans="1:5" x14ac:dyDescent="0.35">
      <c r="A4" t="s">
        <v>11</v>
      </c>
      <c r="B4" s="8">
        <v>45383</v>
      </c>
      <c r="C4" t="s">
        <v>1988</v>
      </c>
      <c r="D4">
        <v>18598</v>
      </c>
      <c r="E4">
        <v>12767</v>
      </c>
    </row>
    <row r="5" spans="1:5" x14ac:dyDescent="0.35">
      <c r="A5" t="s">
        <v>11</v>
      </c>
      <c r="B5" s="8">
        <v>45352</v>
      </c>
      <c r="C5" t="s">
        <v>1988</v>
      </c>
      <c r="D5">
        <v>19922</v>
      </c>
      <c r="E5">
        <v>13035</v>
      </c>
    </row>
    <row r="6" spans="1:5" x14ac:dyDescent="0.35">
      <c r="A6" t="s">
        <v>11</v>
      </c>
      <c r="B6" s="8">
        <v>45323</v>
      </c>
      <c r="C6" t="s">
        <v>1988</v>
      </c>
      <c r="D6">
        <v>19802</v>
      </c>
      <c r="E6">
        <v>16851</v>
      </c>
    </row>
    <row r="7" spans="1:5" x14ac:dyDescent="0.35">
      <c r="A7" t="s">
        <v>11</v>
      </c>
      <c r="B7" s="8">
        <v>45292</v>
      </c>
      <c r="C7" t="s">
        <v>1988</v>
      </c>
      <c r="D7">
        <v>21070</v>
      </c>
      <c r="E7">
        <v>14496</v>
      </c>
    </row>
    <row r="8" spans="1:5" x14ac:dyDescent="0.35">
      <c r="A8" t="s">
        <v>11</v>
      </c>
      <c r="B8" s="8">
        <v>45261</v>
      </c>
      <c r="C8" t="s">
        <v>1988</v>
      </c>
      <c r="D8">
        <v>21481</v>
      </c>
      <c r="E8">
        <v>12518</v>
      </c>
    </row>
    <row r="9" spans="1:5" x14ac:dyDescent="0.35">
      <c r="A9" t="s">
        <v>11</v>
      </c>
      <c r="B9" s="8">
        <v>45231</v>
      </c>
      <c r="C9" t="s">
        <v>1988</v>
      </c>
      <c r="D9">
        <v>20598</v>
      </c>
      <c r="E9">
        <v>13952</v>
      </c>
    </row>
    <row r="10" spans="1:5" x14ac:dyDescent="0.35">
      <c r="A10" t="s">
        <v>11</v>
      </c>
      <c r="B10" s="8">
        <v>45200</v>
      </c>
      <c r="C10" t="s">
        <v>1988</v>
      </c>
      <c r="D10">
        <v>20301</v>
      </c>
      <c r="E10">
        <v>12263</v>
      </c>
    </row>
    <row r="11" spans="1:5" x14ac:dyDescent="0.35">
      <c r="A11" t="s">
        <v>11</v>
      </c>
      <c r="B11" s="8">
        <v>45170</v>
      </c>
      <c r="C11" t="s">
        <v>1988</v>
      </c>
      <c r="D11">
        <v>19079</v>
      </c>
      <c r="E11">
        <v>11726</v>
      </c>
    </row>
    <row r="12" spans="1:5" x14ac:dyDescent="0.35">
      <c r="A12" t="s">
        <v>11</v>
      </c>
      <c r="B12" s="8">
        <v>45139</v>
      </c>
      <c r="C12" t="s">
        <v>1988</v>
      </c>
      <c r="D12">
        <v>20342</v>
      </c>
      <c r="E12">
        <v>11661</v>
      </c>
    </row>
    <row r="13" spans="1:5" x14ac:dyDescent="0.35">
      <c r="A13" t="s">
        <v>11</v>
      </c>
      <c r="B13" s="8">
        <v>45444</v>
      </c>
      <c r="C13" t="s">
        <v>38</v>
      </c>
      <c r="D13">
        <v>766641</v>
      </c>
      <c r="E13">
        <v>267624</v>
      </c>
    </row>
    <row r="14" spans="1:5" x14ac:dyDescent="0.35">
      <c r="A14" t="s">
        <v>11</v>
      </c>
      <c r="B14" s="8">
        <v>45413</v>
      </c>
      <c r="C14" t="s">
        <v>38</v>
      </c>
      <c r="D14">
        <v>777985</v>
      </c>
      <c r="E14">
        <v>277650</v>
      </c>
    </row>
    <row r="15" spans="1:5" x14ac:dyDescent="0.35">
      <c r="A15" t="s">
        <v>11</v>
      </c>
      <c r="B15" s="8">
        <v>45383</v>
      </c>
      <c r="C15" t="s">
        <v>38</v>
      </c>
      <c r="D15">
        <v>750075</v>
      </c>
      <c r="E15">
        <v>258576</v>
      </c>
    </row>
    <row r="16" spans="1:5" x14ac:dyDescent="0.35">
      <c r="A16" t="s">
        <v>11</v>
      </c>
      <c r="B16" s="8">
        <v>45352</v>
      </c>
      <c r="C16" t="s">
        <v>38</v>
      </c>
      <c r="D16">
        <v>821754</v>
      </c>
      <c r="E16">
        <v>294713</v>
      </c>
    </row>
    <row r="17" spans="1:5" x14ac:dyDescent="0.35">
      <c r="A17" t="s">
        <v>11</v>
      </c>
      <c r="B17" s="8">
        <v>45323</v>
      </c>
      <c r="C17" t="s">
        <v>38</v>
      </c>
      <c r="D17">
        <v>798998</v>
      </c>
      <c r="E17">
        <v>299294</v>
      </c>
    </row>
    <row r="18" spans="1:5" x14ac:dyDescent="0.35">
      <c r="A18" t="s">
        <v>11</v>
      </c>
      <c r="B18" s="8">
        <v>45292</v>
      </c>
      <c r="C18" t="s">
        <v>38</v>
      </c>
      <c r="D18">
        <v>852844</v>
      </c>
      <c r="E18">
        <v>298297</v>
      </c>
    </row>
    <row r="19" spans="1:5" x14ac:dyDescent="0.35">
      <c r="A19" t="s">
        <v>11</v>
      </c>
      <c r="B19" s="8">
        <v>45261</v>
      </c>
      <c r="C19" t="s">
        <v>38</v>
      </c>
      <c r="D19">
        <v>874347</v>
      </c>
      <c r="E19">
        <v>260736</v>
      </c>
    </row>
    <row r="20" spans="1:5" x14ac:dyDescent="0.35">
      <c r="A20" t="s">
        <v>11</v>
      </c>
      <c r="B20" s="8">
        <v>45231</v>
      </c>
      <c r="C20" t="s">
        <v>38</v>
      </c>
      <c r="D20">
        <v>857265</v>
      </c>
      <c r="E20">
        <v>244810</v>
      </c>
    </row>
    <row r="21" spans="1:5" x14ac:dyDescent="0.35">
      <c r="A21" t="s">
        <v>11</v>
      </c>
      <c r="B21" s="8">
        <v>45200</v>
      </c>
      <c r="C21" t="s">
        <v>38</v>
      </c>
      <c r="D21">
        <v>858010</v>
      </c>
      <c r="E21">
        <v>253871</v>
      </c>
    </row>
    <row r="22" spans="1:5" x14ac:dyDescent="0.35">
      <c r="A22" t="s">
        <v>11</v>
      </c>
      <c r="B22" s="8">
        <v>45170</v>
      </c>
      <c r="C22" t="s">
        <v>38</v>
      </c>
      <c r="D22">
        <v>837703</v>
      </c>
      <c r="E22">
        <v>252082</v>
      </c>
    </row>
    <row r="23" spans="1:5" x14ac:dyDescent="0.35">
      <c r="A23" t="s">
        <v>11</v>
      </c>
      <c r="B23" s="8">
        <v>45139</v>
      </c>
      <c r="C23" t="s">
        <v>38</v>
      </c>
      <c r="D23">
        <v>868109</v>
      </c>
      <c r="E23">
        <v>234803</v>
      </c>
    </row>
    <row r="24" spans="1:5" x14ac:dyDescent="0.35">
      <c r="A24" t="s">
        <v>11</v>
      </c>
      <c r="B24" s="8">
        <v>45444</v>
      </c>
      <c r="C24" t="s">
        <v>45</v>
      </c>
      <c r="D24">
        <v>355098</v>
      </c>
      <c r="E24">
        <v>115995</v>
      </c>
    </row>
    <row r="25" spans="1:5" x14ac:dyDescent="0.35">
      <c r="A25" t="s">
        <v>11</v>
      </c>
      <c r="B25" s="8">
        <v>45413</v>
      </c>
      <c r="C25" t="s">
        <v>45</v>
      </c>
      <c r="D25">
        <v>359014</v>
      </c>
      <c r="E25">
        <v>133315</v>
      </c>
    </row>
    <row r="26" spans="1:5" x14ac:dyDescent="0.35">
      <c r="A26" t="s">
        <v>11</v>
      </c>
      <c r="B26" s="8">
        <v>45383</v>
      </c>
      <c r="C26" t="s">
        <v>45</v>
      </c>
      <c r="D26">
        <v>343149</v>
      </c>
      <c r="E26">
        <v>124336</v>
      </c>
    </row>
    <row r="27" spans="1:5" x14ac:dyDescent="0.35">
      <c r="A27" t="s">
        <v>11</v>
      </c>
      <c r="B27" s="8">
        <v>45352</v>
      </c>
      <c r="C27" t="s">
        <v>45</v>
      </c>
      <c r="D27">
        <v>353321</v>
      </c>
      <c r="E27">
        <v>137750</v>
      </c>
    </row>
    <row r="28" spans="1:5" x14ac:dyDescent="0.35">
      <c r="A28" t="s">
        <v>11</v>
      </c>
      <c r="B28" s="8">
        <v>45323</v>
      </c>
      <c r="C28" t="s">
        <v>45</v>
      </c>
      <c r="D28">
        <v>340311</v>
      </c>
      <c r="E28">
        <v>149700</v>
      </c>
    </row>
    <row r="29" spans="1:5" x14ac:dyDescent="0.35">
      <c r="A29" t="s">
        <v>11</v>
      </c>
      <c r="B29" s="8">
        <v>45292</v>
      </c>
      <c r="C29" t="s">
        <v>45</v>
      </c>
      <c r="D29">
        <v>354957</v>
      </c>
      <c r="E29">
        <v>155187</v>
      </c>
    </row>
    <row r="30" spans="1:5" x14ac:dyDescent="0.35">
      <c r="A30" t="s">
        <v>11</v>
      </c>
      <c r="B30" s="8">
        <v>45261</v>
      </c>
      <c r="C30" t="s">
        <v>45</v>
      </c>
      <c r="D30">
        <v>359323</v>
      </c>
      <c r="E30">
        <v>128978</v>
      </c>
    </row>
    <row r="31" spans="1:5" x14ac:dyDescent="0.35">
      <c r="A31" t="s">
        <v>11</v>
      </c>
      <c r="B31" s="8">
        <v>45231</v>
      </c>
      <c r="C31" t="s">
        <v>45</v>
      </c>
      <c r="D31">
        <v>327020</v>
      </c>
      <c r="E31">
        <v>125421</v>
      </c>
    </row>
    <row r="32" spans="1:5" x14ac:dyDescent="0.35">
      <c r="A32" t="s">
        <v>11</v>
      </c>
      <c r="B32" s="8">
        <v>45200</v>
      </c>
      <c r="C32" t="s">
        <v>45</v>
      </c>
      <c r="D32">
        <v>355400</v>
      </c>
      <c r="E32">
        <v>123942</v>
      </c>
    </row>
    <row r="33" spans="1:5" x14ac:dyDescent="0.35">
      <c r="A33" t="s">
        <v>11</v>
      </c>
      <c r="B33" s="8">
        <v>45170</v>
      </c>
      <c r="C33" t="s">
        <v>45</v>
      </c>
      <c r="D33">
        <v>366341</v>
      </c>
      <c r="E33">
        <v>124177</v>
      </c>
    </row>
    <row r="34" spans="1:5" x14ac:dyDescent="0.35">
      <c r="A34" t="s">
        <v>11</v>
      </c>
      <c r="B34" s="8">
        <v>45139</v>
      </c>
      <c r="C34" t="s">
        <v>45</v>
      </c>
      <c r="D34">
        <v>387725</v>
      </c>
      <c r="E34">
        <v>118170</v>
      </c>
    </row>
    <row r="35" spans="1:5" x14ac:dyDescent="0.35">
      <c r="A35" t="s">
        <v>11</v>
      </c>
      <c r="B35" s="8">
        <v>45444</v>
      </c>
      <c r="C35" t="s">
        <v>49</v>
      </c>
      <c r="D35">
        <v>34831</v>
      </c>
      <c r="E35">
        <v>18833</v>
      </c>
    </row>
    <row r="36" spans="1:5" x14ac:dyDescent="0.35">
      <c r="A36" t="s">
        <v>11</v>
      </c>
      <c r="B36" s="8">
        <v>45413</v>
      </c>
      <c r="C36" t="s">
        <v>49</v>
      </c>
      <c r="D36">
        <v>37948</v>
      </c>
      <c r="E36">
        <v>21522</v>
      </c>
    </row>
    <row r="37" spans="1:5" x14ac:dyDescent="0.35">
      <c r="A37" t="s">
        <v>11</v>
      </c>
      <c r="B37" s="8">
        <v>45383</v>
      </c>
      <c r="C37" t="s">
        <v>49</v>
      </c>
      <c r="D37">
        <v>36401</v>
      </c>
      <c r="E37">
        <v>19357</v>
      </c>
    </row>
    <row r="38" spans="1:5" x14ac:dyDescent="0.35">
      <c r="A38" t="s">
        <v>11</v>
      </c>
      <c r="B38" s="8">
        <v>45352</v>
      </c>
      <c r="C38" t="s">
        <v>49</v>
      </c>
      <c r="D38">
        <v>37918</v>
      </c>
      <c r="E38">
        <v>21817</v>
      </c>
    </row>
    <row r="39" spans="1:5" x14ac:dyDescent="0.35">
      <c r="A39" t="s">
        <v>11</v>
      </c>
      <c r="B39" s="8">
        <v>45323</v>
      </c>
      <c r="C39" t="s">
        <v>49</v>
      </c>
      <c r="D39">
        <v>36376</v>
      </c>
      <c r="E39">
        <v>24251</v>
      </c>
    </row>
    <row r="40" spans="1:5" x14ac:dyDescent="0.35">
      <c r="A40" t="s">
        <v>11</v>
      </c>
      <c r="B40" s="8">
        <v>45292</v>
      </c>
      <c r="C40" t="s">
        <v>49</v>
      </c>
      <c r="D40">
        <v>37786</v>
      </c>
      <c r="E40">
        <v>22672</v>
      </c>
    </row>
    <row r="41" spans="1:5" x14ac:dyDescent="0.35">
      <c r="A41" t="s">
        <v>11</v>
      </c>
      <c r="B41" s="8">
        <v>45261</v>
      </c>
      <c r="C41" t="s">
        <v>49</v>
      </c>
      <c r="D41">
        <v>37160</v>
      </c>
      <c r="E41">
        <v>21133</v>
      </c>
    </row>
    <row r="42" spans="1:5" x14ac:dyDescent="0.35">
      <c r="A42" t="s">
        <v>11</v>
      </c>
      <c r="B42" s="8">
        <v>45231</v>
      </c>
      <c r="C42" t="s">
        <v>49</v>
      </c>
      <c r="D42">
        <v>34763</v>
      </c>
      <c r="E42">
        <v>19987</v>
      </c>
    </row>
    <row r="43" spans="1:5" x14ac:dyDescent="0.35">
      <c r="A43" t="s">
        <v>11</v>
      </c>
      <c r="B43" s="8">
        <v>45200</v>
      </c>
      <c r="C43" t="s">
        <v>49</v>
      </c>
      <c r="D43">
        <v>33386</v>
      </c>
      <c r="E43">
        <v>19262</v>
      </c>
    </row>
    <row r="44" spans="1:5" x14ac:dyDescent="0.35">
      <c r="A44" t="s">
        <v>11</v>
      </c>
      <c r="B44" s="8">
        <v>45170</v>
      </c>
      <c r="C44" t="s">
        <v>49</v>
      </c>
      <c r="D44">
        <v>30804</v>
      </c>
      <c r="E44">
        <v>19955</v>
      </c>
    </row>
    <row r="45" spans="1:5" x14ac:dyDescent="0.35">
      <c r="A45" t="s">
        <v>11</v>
      </c>
      <c r="B45" s="8">
        <v>45139</v>
      </c>
      <c r="C45" t="s">
        <v>49</v>
      </c>
      <c r="D45">
        <v>31930</v>
      </c>
      <c r="E45">
        <v>17945</v>
      </c>
    </row>
    <row r="46" spans="1:5" x14ac:dyDescent="0.35">
      <c r="A46" t="s">
        <v>11</v>
      </c>
      <c r="B46" s="8">
        <v>45444</v>
      </c>
      <c r="C46" t="s">
        <v>51</v>
      </c>
      <c r="D46">
        <v>235612</v>
      </c>
      <c r="E46">
        <v>83545</v>
      </c>
    </row>
    <row r="47" spans="1:5" x14ac:dyDescent="0.35">
      <c r="A47" t="s">
        <v>11</v>
      </c>
      <c r="B47" s="8">
        <v>45413</v>
      </c>
      <c r="C47" t="s">
        <v>51</v>
      </c>
      <c r="D47">
        <v>237885</v>
      </c>
      <c r="E47">
        <v>93179</v>
      </c>
    </row>
    <row r="48" spans="1:5" x14ac:dyDescent="0.35">
      <c r="A48" t="s">
        <v>11</v>
      </c>
      <c r="B48" s="8">
        <v>45383</v>
      </c>
      <c r="C48" t="s">
        <v>51</v>
      </c>
      <c r="D48">
        <v>228841</v>
      </c>
      <c r="E48">
        <v>86883</v>
      </c>
    </row>
    <row r="49" spans="1:5" x14ac:dyDescent="0.35">
      <c r="A49" t="s">
        <v>11</v>
      </c>
      <c r="B49" s="8">
        <v>45352</v>
      </c>
      <c r="C49" t="s">
        <v>51</v>
      </c>
      <c r="D49">
        <v>237306</v>
      </c>
      <c r="E49">
        <v>93232</v>
      </c>
    </row>
    <row r="50" spans="1:5" x14ac:dyDescent="0.35">
      <c r="A50" t="s">
        <v>11</v>
      </c>
      <c r="B50" s="8">
        <v>45323</v>
      </c>
      <c r="C50" t="s">
        <v>51</v>
      </c>
      <c r="D50">
        <v>216261</v>
      </c>
      <c r="E50">
        <v>106261</v>
      </c>
    </row>
    <row r="51" spans="1:5" x14ac:dyDescent="0.35">
      <c r="A51" t="s">
        <v>11</v>
      </c>
      <c r="B51" s="8">
        <v>45292</v>
      </c>
      <c r="C51" t="s">
        <v>51</v>
      </c>
      <c r="D51">
        <v>226523</v>
      </c>
      <c r="E51">
        <v>105146</v>
      </c>
    </row>
    <row r="52" spans="1:5" x14ac:dyDescent="0.35">
      <c r="A52" t="s">
        <v>11</v>
      </c>
      <c r="B52" s="8">
        <v>45261</v>
      </c>
      <c r="C52" t="s">
        <v>51</v>
      </c>
      <c r="D52">
        <v>235954</v>
      </c>
      <c r="E52">
        <v>89695</v>
      </c>
    </row>
    <row r="53" spans="1:5" x14ac:dyDescent="0.35">
      <c r="A53" t="s">
        <v>11</v>
      </c>
      <c r="B53" s="8">
        <v>45231</v>
      </c>
      <c r="C53" t="s">
        <v>51</v>
      </c>
      <c r="D53">
        <v>233237</v>
      </c>
      <c r="E53">
        <v>92167</v>
      </c>
    </row>
    <row r="54" spans="1:5" x14ac:dyDescent="0.35">
      <c r="A54" t="s">
        <v>11</v>
      </c>
      <c r="B54" s="8">
        <v>45200</v>
      </c>
      <c r="C54" t="s">
        <v>51</v>
      </c>
      <c r="D54">
        <v>230373</v>
      </c>
      <c r="E54">
        <v>84913</v>
      </c>
    </row>
    <row r="55" spans="1:5" x14ac:dyDescent="0.35">
      <c r="A55" t="s">
        <v>11</v>
      </c>
      <c r="B55" s="8">
        <v>45170</v>
      </c>
      <c r="C55" t="s">
        <v>51</v>
      </c>
      <c r="D55">
        <v>220771</v>
      </c>
      <c r="E55">
        <v>87186</v>
      </c>
    </row>
    <row r="56" spans="1:5" x14ac:dyDescent="0.35">
      <c r="A56" t="s">
        <v>11</v>
      </c>
      <c r="B56" s="8">
        <v>45139</v>
      </c>
      <c r="C56" t="s">
        <v>51</v>
      </c>
      <c r="D56">
        <v>227726</v>
      </c>
      <c r="E56">
        <v>81488</v>
      </c>
    </row>
    <row r="57" spans="1:5" x14ac:dyDescent="0.35">
      <c r="A57" t="s">
        <v>11</v>
      </c>
      <c r="B57" s="8">
        <v>45444</v>
      </c>
      <c r="C57" t="s">
        <v>56</v>
      </c>
      <c r="D57">
        <v>364729</v>
      </c>
      <c r="E57">
        <v>194558</v>
      </c>
    </row>
    <row r="58" spans="1:5" x14ac:dyDescent="0.35">
      <c r="A58" t="s">
        <v>11</v>
      </c>
      <c r="B58" s="8">
        <v>45413</v>
      </c>
      <c r="C58" t="s">
        <v>56</v>
      </c>
      <c r="D58">
        <v>378832</v>
      </c>
      <c r="E58">
        <v>218753</v>
      </c>
    </row>
    <row r="59" spans="1:5" x14ac:dyDescent="0.35">
      <c r="A59" t="s">
        <v>11</v>
      </c>
      <c r="B59" s="8">
        <v>45383</v>
      </c>
      <c r="C59" t="s">
        <v>56</v>
      </c>
      <c r="D59">
        <v>380966</v>
      </c>
      <c r="E59">
        <v>196089</v>
      </c>
    </row>
    <row r="60" spans="1:5" x14ac:dyDescent="0.35">
      <c r="A60" t="s">
        <v>11</v>
      </c>
      <c r="B60" s="8">
        <v>45352</v>
      </c>
      <c r="C60" t="s">
        <v>56</v>
      </c>
      <c r="D60">
        <v>388890</v>
      </c>
      <c r="E60">
        <v>229935</v>
      </c>
    </row>
    <row r="61" spans="1:5" x14ac:dyDescent="0.35">
      <c r="A61" t="s">
        <v>11</v>
      </c>
      <c r="B61" s="8">
        <v>45323</v>
      </c>
      <c r="C61" t="s">
        <v>56</v>
      </c>
      <c r="D61">
        <v>376312</v>
      </c>
      <c r="E61">
        <v>237552</v>
      </c>
    </row>
    <row r="62" spans="1:5" x14ac:dyDescent="0.35">
      <c r="A62" t="s">
        <v>11</v>
      </c>
      <c r="B62" s="8">
        <v>45292</v>
      </c>
      <c r="C62" t="s">
        <v>56</v>
      </c>
      <c r="D62">
        <v>379992</v>
      </c>
      <c r="E62">
        <v>251084</v>
      </c>
    </row>
    <row r="63" spans="1:5" x14ac:dyDescent="0.35">
      <c r="A63" t="s">
        <v>11</v>
      </c>
      <c r="B63" s="8">
        <v>45261</v>
      </c>
      <c r="C63" t="s">
        <v>56</v>
      </c>
      <c r="D63">
        <v>391644</v>
      </c>
      <c r="E63">
        <v>203075</v>
      </c>
    </row>
    <row r="64" spans="1:5" x14ac:dyDescent="0.35">
      <c r="A64" t="s">
        <v>11</v>
      </c>
      <c r="B64" s="8">
        <v>45231</v>
      </c>
      <c r="C64" t="s">
        <v>56</v>
      </c>
      <c r="D64">
        <v>381869</v>
      </c>
      <c r="E64">
        <v>216199</v>
      </c>
    </row>
    <row r="65" spans="1:5" x14ac:dyDescent="0.35">
      <c r="A65" t="s">
        <v>11</v>
      </c>
      <c r="B65" s="8">
        <v>45200</v>
      </c>
      <c r="C65" t="s">
        <v>56</v>
      </c>
      <c r="D65">
        <v>371795</v>
      </c>
      <c r="E65">
        <v>197526</v>
      </c>
    </row>
    <row r="66" spans="1:5" x14ac:dyDescent="0.35">
      <c r="A66" t="s">
        <v>11</v>
      </c>
      <c r="B66" s="8">
        <v>45170</v>
      </c>
      <c r="C66" t="s">
        <v>56</v>
      </c>
      <c r="D66">
        <v>357002</v>
      </c>
      <c r="E66">
        <v>205857</v>
      </c>
    </row>
    <row r="67" spans="1:5" x14ac:dyDescent="0.35">
      <c r="A67" t="s">
        <v>11</v>
      </c>
      <c r="B67" s="8">
        <v>45139</v>
      </c>
      <c r="C67" t="s">
        <v>56</v>
      </c>
      <c r="D67">
        <v>375768</v>
      </c>
      <c r="E67">
        <v>181324</v>
      </c>
    </row>
    <row r="68" spans="1:5" x14ac:dyDescent="0.35">
      <c r="A68" t="s">
        <v>11</v>
      </c>
      <c r="B68" s="8">
        <v>45444</v>
      </c>
      <c r="C68" t="s">
        <v>48</v>
      </c>
      <c r="D68">
        <v>15126</v>
      </c>
      <c r="E68">
        <v>6317</v>
      </c>
    </row>
    <row r="69" spans="1:5" x14ac:dyDescent="0.35">
      <c r="A69" t="s">
        <v>11</v>
      </c>
      <c r="B69" s="8">
        <v>45413</v>
      </c>
      <c r="C69" t="s">
        <v>48</v>
      </c>
      <c r="D69">
        <v>14923</v>
      </c>
      <c r="E69">
        <v>5564</v>
      </c>
    </row>
    <row r="70" spans="1:5" x14ac:dyDescent="0.35">
      <c r="A70" t="s">
        <v>11</v>
      </c>
      <c r="B70" s="8">
        <v>45383</v>
      </c>
      <c r="C70" t="s">
        <v>48</v>
      </c>
      <c r="D70">
        <v>16159</v>
      </c>
      <c r="E70">
        <v>6036</v>
      </c>
    </row>
    <row r="71" spans="1:5" x14ac:dyDescent="0.35">
      <c r="A71" t="s">
        <v>11</v>
      </c>
      <c r="B71" s="8">
        <v>45352</v>
      </c>
      <c r="C71" t="s">
        <v>48</v>
      </c>
      <c r="D71">
        <v>17323</v>
      </c>
      <c r="E71">
        <v>7813</v>
      </c>
    </row>
    <row r="72" spans="1:5" x14ac:dyDescent="0.35">
      <c r="A72" t="s">
        <v>11</v>
      </c>
      <c r="B72" s="8">
        <v>45323</v>
      </c>
      <c r="C72" t="s">
        <v>48</v>
      </c>
      <c r="D72">
        <v>16349</v>
      </c>
      <c r="E72">
        <v>6062</v>
      </c>
    </row>
    <row r="73" spans="1:5" x14ac:dyDescent="0.35">
      <c r="A73" t="s">
        <v>11</v>
      </c>
      <c r="B73" s="8">
        <v>45292</v>
      </c>
      <c r="C73" t="s">
        <v>48</v>
      </c>
      <c r="D73">
        <v>15556</v>
      </c>
      <c r="E73">
        <v>6937</v>
      </c>
    </row>
    <row r="74" spans="1:5" x14ac:dyDescent="0.35">
      <c r="A74" t="s">
        <v>11</v>
      </c>
      <c r="B74" s="8">
        <v>45261</v>
      </c>
      <c r="C74" t="s">
        <v>48</v>
      </c>
      <c r="D74">
        <v>15770</v>
      </c>
      <c r="E74">
        <v>5955</v>
      </c>
    </row>
    <row r="75" spans="1:5" x14ac:dyDescent="0.35">
      <c r="A75" t="s">
        <v>11</v>
      </c>
      <c r="B75" s="8">
        <v>45231</v>
      </c>
      <c r="C75" t="s">
        <v>48</v>
      </c>
      <c r="D75">
        <v>15100</v>
      </c>
      <c r="E75">
        <v>6114</v>
      </c>
    </row>
    <row r="76" spans="1:5" x14ac:dyDescent="0.35">
      <c r="A76" t="s">
        <v>11</v>
      </c>
      <c r="B76" s="8">
        <v>45200</v>
      </c>
      <c r="C76" t="s">
        <v>48</v>
      </c>
      <c r="D76">
        <v>16320</v>
      </c>
      <c r="E76">
        <v>5897</v>
      </c>
    </row>
    <row r="77" spans="1:5" x14ac:dyDescent="0.35">
      <c r="A77" t="s">
        <v>11</v>
      </c>
      <c r="B77" s="8">
        <v>45170</v>
      </c>
      <c r="C77" t="s">
        <v>48</v>
      </c>
      <c r="D77">
        <v>14555</v>
      </c>
      <c r="E77">
        <v>5600</v>
      </c>
    </row>
    <row r="78" spans="1:5" x14ac:dyDescent="0.35">
      <c r="A78" t="s">
        <v>11</v>
      </c>
      <c r="B78" s="8">
        <v>45139</v>
      </c>
      <c r="C78" t="s">
        <v>48</v>
      </c>
      <c r="D78">
        <v>14696</v>
      </c>
      <c r="E78">
        <v>5019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F439-1806-4B56-92C0-FB45ACE1C842}">
  <sheetPr codeName="Planilha7"/>
  <dimension ref="A1:E177"/>
  <sheetViews>
    <sheetView topLeftCell="A37" workbookViewId="0"/>
  </sheetViews>
  <sheetFormatPr defaultRowHeight="14.5" x14ac:dyDescent="0.35"/>
  <cols>
    <col min="1" max="1" width="11" bestFit="1" customWidth="1"/>
    <col min="2" max="2" width="21.1796875" bestFit="1" customWidth="1"/>
    <col min="3" max="3" width="10.7265625" bestFit="1" customWidth="1"/>
    <col min="4" max="4" width="33.54296875" bestFit="1" customWidth="1"/>
    <col min="5" max="5" width="37.1796875" bestFit="1" customWidth="1"/>
  </cols>
  <sheetData>
    <row r="1" spans="1:5" x14ac:dyDescent="0.35">
      <c r="A1" t="s">
        <v>7</v>
      </c>
      <c r="B1" t="s">
        <v>8</v>
      </c>
      <c r="C1" t="s">
        <v>34</v>
      </c>
      <c r="D1" t="s">
        <v>35</v>
      </c>
      <c r="E1" t="s">
        <v>1987</v>
      </c>
    </row>
    <row r="2" spans="1:5" x14ac:dyDescent="0.35">
      <c r="A2" t="s">
        <v>1989</v>
      </c>
      <c r="B2" t="s">
        <v>41</v>
      </c>
      <c r="C2" s="8">
        <v>45444</v>
      </c>
      <c r="D2">
        <v>159566</v>
      </c>
      <c r="E2">
        <v>93321</v>
      </c>
    </row>
    <row r="3" spans="1:5" x14ac:dyDescent="0.35">
      <c r="A3" t="s">
        <v>1989</v>
      </c>
      <c r="B3" t="s">
        <v>41</v>
      </c>
      <c r="C3" s="8">
        <v>45413</v>
      </c>
      <c r="D3">
        <v>165123</v>
      </c>
      <c r="E3">
        <v>104692</v>
      </c>
    </row>
    <row r="4" spans="1:5" x14ac:dyDescent="0.35">
      <c r="A4" t="s">
        <v>1989</v>
      </c>
      <c r="B4" t="s">
        <v>41</v>
      </c>
      <c r="C4" s="8">
        <v>45383</v>
      </c>
      <c r="D4">
        <v>159011</v>
      </c>
      <c r="E4">
        <v>102185</v>
      </c>
    </row>
    <row r="5" spans="1:5" x14ac:dyDescent="0.35">
      <c r="A5" t="s">
        <v>1989</v>
      </c>
      <c r="B5" t="s">
        <v>41</v>
      </c>
      <c r="C5" s="8">
        <v>45352</v>
      </c>
      <c r="D5">
        <v>167684</v>
      </c>
      <c r="E5">
        <v>105507</v>
      </c>
    </row>
    <row r="6" spans="1:5" x14ac:dyDescent="0.35">
      <c r="A6" t="s">
        <v>1989</v>
      </c>
      <c r="B6" t="s">
        <v>41</v>
      </c>
      <c r="C6" s="8">
        <v>45323</v>
      </c>
      <c r="D6">
        <v>156293</v>
      </c>
      <c r="E6">
        <v>114717</v>
      </c>
    </row>
    <row r="7" spans="1:5" x14ac:dyDescent="0.35">
      <c r="A7" t="s">
        <v>1989</v>
      </c>
      <c r="B7" t="s">
        <v>41</v>
      </c>
      <c r="C7" s="8">
        <v>45292</v>
      </c>
      <c r="D7">
        <v>166715</v>
      </c>
      <c r="E7">
        <v>114210</v>
      </c>
    </row>
    <row r="8" spans="1:5" x14ac:dyDescent="0.35">
      <c r="A8" t="s">
        <v>1989</v>
      </c>
      <c r="B8" t="s">
        <v>41</v>
      </c>
      <c r="C8" s="8">
        <v>45261</v>
      </c>
      <c r="D8">
        <v>172596</v>
      </c>
      <c r="E8">
        <v>99671</v>
      </c>
    </row>
    <row r="9" spans="1:5" x14ac:dyDescent="0.35">
      <c r="A9" t="s">
        <v>1989</v>
      </c>
      <c r="B9" t="s">
        <v>41</v>
      </c>
      <c r="C9" s="8">
        <v>45231</v>
      </c>
      <c r="D9">
        <v>157700</v>
      </c>
      <c r="E9">
        <v>94118</v>
      </c>
    </row>
    <row r="10" spans="1:5" x14ac:dyDescent="0.35">
      <c r="A10" t="s">
        <v>1989</v>
      </c>
      <c r="B10" t="s">
        <v>41</v>
      </c>
      <c r="C10" s="8">
        <v>45200</v>
      </c>
      <c r="D10">
        <v>161463</v>
      </c>
      <c r="E10">
        <v>89162</v>
      </c>
    </row>
    <row r="11" spans="1:5" x14ac:dyDescent="0.35">
      <c r="A11" t="s">
        <v>1989</v>
      </c>
      <c r="B11" t="s">
        <v>41</v>
      </c>
      <c r="C11" s="8">
        <v>45170</v>
      </c>
      <c r="D11">
        <v>146906</v>
      </c>
      <c r="E11">
        <v>96423</v>
      </c>
    </row>
    <row r="12" spans="1:5" x14ac:dyDescent="0.35">
      <c r="A12" t="s">
        <v>1989</v>
      </c>
      <c r="B12" t="s">
        <v>41</v>
      </c>
      <c r="C12" s="8">
        <v>45139</v>
      </c>
      <c r="D12">
        <v>149429</v>
      </c>
      <c r="E12">
        <v>88152</v>
      </c>
    </row>
    <row r="13" spans="1:5" x14ac:dyDescent="0.35">
      <c r="A13" t="s">
        <v>1989</v>
      </c>
      <c r="B13" t="s">
        <v>40</v>
      </c>
      <c r="C13" s="8">
        <v>45444</v>
      </c>
      <c r="D13">
        <v>23870</v>
      </c>
      <c r="E13">
        <v>14396</v>
      </c>
    </row>
    <row r="14" spans="1:5" x14ac:dyDescent="0.35">
      <c r="A14" t="s">
        <v>1989</v>
      </c>
      <c r="B14" t="s">
        <v>40</v>
      </c>
      <c r="C14" s="8">
        <v>45413</v>
      </c>
      <c r="D14">
        <v>23390</v>
      </c>
      <c r="E14">
        <v>15647</v>
      </c>
    </row>
    <row r="15" spans="1:5" x14ac:dyDescent="0.35">
      <c r="A15" t="s">
        <v>1989</v>
      </c>
      <c r="B15" t="s">
        <v>40</v>
      </c>
      <c r="C15" s="8">
        <v>45383</v>
      </c>
      <c r="D15">
        <v>23450</v>
      </c>
      <c r="E15">
        <v>15179</v>
      </c>
    </row>
    <row r="16" spans="1:5" x14ac:dyDescent="0.35">
      <c r="A16" t="s">
        <v>1989</v>
      </c>
      <c r="B16" t="s">
        <v>40</v>
      </c>
      <c r="C16" s="8">
        <v>45352</v>
      </c>
      <c r="D16">
        <v>22775</v>
      </c>
      <c r="E16">
        <v>16664</v>
      </c>
    </row>
    <row r="17" spans="1:5" x14ac:dyDescent="0.35">
      <c r="A17" t="s">
        <v>1989</v>
      </c>
      <c r="B17" t="s">
        <v>40</v>
      </c>
      <c r="C17" s="8">
        <v>45323</v>
      </c>
      <c r="D17">
        <v>20821</v>
      </c>
      <c r="E17">
        <v>15116</v>
      </c>
    </row>
    <row r="18" spans="1:5" x14ac:dyDescent="0.35">
      <c r="A18" t="s">
        <v>1989</v>
      </c>
      <c r="B18" t="s">
        <v>40</v>
      </c>
      <c r="C18" s="8">
        <v>45292</v>
      </c>
      <c r="D18">
        <v>21767</v>
      </c>
      <c r="E18">
        <v>17867</v>
      </c>
    </row>
    <row r="19" spans="1:5" x14ac:dyDescent="0.35">
      <c r="A19" t="s">
        <v>1989</v>
      </c>
      <c r="B19" t="s">
        <v>40</v>
      </c>
      <c r="C19" s="8">
        <v>45261</v>
      </c>
      <c r="D19">
        <v>22835</v>
      </c>
      <c r="E19">
        <v>14462</v>
      </c>
    </row>
    <row r="20" spans="1:5" x14ac:dyDescent="0.35">
      <c r="A20" t="s">
        <v>1989</v>
      </c>
      <c r="B20" t="s">
        <v>40</v>
      </c>
      <c r="C20" s="8">
        <v>45231</v>
      </c>
      <c r="D20">
        <v>24243</v>
      </c>
      <c r="E20">
        <v>15726</v>
      </c>
    </row>
    <row r="21" spans="1:5" x14ac:dyDescent="0.35">
      <c r="A21" t="s">
        <v>1989</v>
      </c>
      <c r="B21" t="s">
        <v>40</v>
      </c>
      <c r="C21" s="8">
        <v>45200</v>
      </c>
      <c r="D21">
        <v>25926</v>
      </c>
      <c r="E21">
        <v>13682</v>
      </c>
    </row>
    <row r="22" spans="1:5" x14ac:dyDescent="0.35">
      <c r="A22" t="s">
        <v>1989</v>
      </c>
      <c r="B22" t="s">
        <v>40</v>
      </c>
      <c r="C22" s="8">
        <v>45170</v>
      </c>
      <c r="D22">
        <v>24865</v>
      </c>
      <c r="E22">
        <v>13972</v>
      </c>
    </row>
    <row r="23" spans="1:5" x14ac:dyDescent="0.35">
      <c r="A23" t="s">
        <v>1989</v>
      </c>
      <c r="B23" t="s">
        <v>40</v>
      </c>
      <c r="C23" s="8">
        <v>45139</v>
      </c>
      <c r="D23">
        <v>23761</v>
      </c>
      <c r="E23">
        <v>13490</v>
      </c>
    </row>
    <row r="24" spans="1:5" x14ac:dyDescent="0.35">
      <c r="A24" t="s">
        <v>1989</v>
      </c>
      <c r="B24" t="s">
        <v>42</v>
      </c>
      <c r="C24" s="8">
        <v>45444</v>
      </c>
      <c r="D24">
        <v>49113</v>
      </c>
      <c r="E24">
        <v>27934</v>
      </c>
    </row>
    <row r="25" spans="1:5" x14ac:dyDescent="0.35">
      <c r="A25" t="s">
        <v>1989</v>
      </c>
      <c r="B25" t="s">
        <v>42</v>
      </c>
      <c r="C25" s="8">
        <v>45413</v>
      </c>
      <c r="D25">
        <v>43243</v>
      </c>
      <c r="E25">
        <v>36981</v>
      </c>
    </row>
    <row r="26" spans="1:5" x14ac:dyDescent="0.35">
      <c r="A26" t="s">
        <v>1989</v>
      </c>
      <c r="B26" t="s">
        <v>42</v>
      </c>
      <c r="C26" s="8">
        <v>45383</v>
      </c>
      <c r="D26">
        <v>58224</v>
      </c>
      <c r="E26">
        <v>36291</v>
      </c>
    </row>
    <row r="27" spans="1:5" x14ac:dyDescent="0.35">
      <c r="A27" t="s">
        <v>1989</v>
      </c>
      <c r="B27" t="s">
        <v>42</v>
      </c>
      <c r="C27" s="8">
        <v>45352</v>
      </c>
      <c r="D27">
        <v>66854</v>
      </c>
      <c r="E27">
        <v>38825</v>
      </c>
    </row>
    <row r="28" spans="1:5" x14ac:dyDescent="0.35">
      <c r="A28" t="s">
        <v>1989</v>
      </c>
      <c r="B28" t="s">
        <v>42</v>
      </c>
      <c r="C28" s="8">
        <v>45323</v>
      </c>
      <c r="D28">
        <v>69397</v>
      </c>
      <c r="E28">
        <v>41651</v>
      </c>
    </row>
    <row r="29" spans="1:5" x14ac:dyDescent="0.35">
      <c r="A29" t="s">
        <v>1989</v>
      </c>
      <c r="B29" t="s">
        <v>42</v>
      </c>
      <c r="C29" s="8">
        <v>45292</v>
      </c>
      <c r="D29">
        <v>67059</v>
      </c>
      <c r="E29">
        <v>44214</v>
      </c>
    </row>
    <row r="30" spans="1:5" x14ac:dyDescent="0.35">
      <c r="A30" t="s">
        <v>1989</v>
      </c>
      <c r="B30" t="s">
        <v>42</v>
      </c>
      <c r="C30" s="8">
        <v>45261</v>
      </c>
      <c r="D30">
        <v>64842</v>
      </c>
      <c r="E30">
        <v>36576</v>
      </c>
    </row>
    <row r="31" spans="1:5" x14ac:dyDescent="0.35">
      <c r="A31" t="s">
        <v>1989</v>
      </c>
      <c r="B31" t="s">
        <v>42</v>
      </c>
      <c r="C31" s="8">
        <v>45231</v>
      </c>
      <c r="D31">
        <v>60581</v>
      </c>
      <c r="E31">
        <v>39634</v>
      </c>
    </row>
    <row r="32" spans="1:5" x14ac:dyDescent="0.35">
      <c r="A32" t="s">
        <v>1989</v>
      </c>
      <c r="B32" t="s">
        <v>42</v>
      </c>
      <c r="C32" s="8">
        <v>45200</v>
      </c>
      <c r="D32">
        <v>54190</v>
      </c>
      <c r="E32">
        <v>35742</v>
      </c>
    </row>
    <row r="33" spans="1:5" x14ac:dyDescent="0.35">
      <c r="A33" t="s">
        <v>1989</v>
      </c>
      <c r="B33" t="s">
        <v>42</v>
      </c>
      <c r="C33" s="8">
        <v>45170</v>
      </c>
      <c r="D33">
        <v>63112</v>
      </c>
      <c r="E33">
        <v>35160</v>
      </c>
    </row>
    <row r="34" spans="1:5" x14ac:dyDescent="0.35">
      <c r="A34" t="s">
        <v>1989</v>
      </c>
      <c r="B34" t="s">
        <v>42</v>
      </c>
      <c r="C34" s="8">
        <v>45139</v>
      </c>
      <c r="D34">
        <v>60652</v>
      </c>
      <c r="E34">
        <v>31666</v>
      </c>
    </row>
    <row r="35" spans="1:5" x14ac:dyDescent="0.35">
      <c r="A35" t="s">
        <v>1989</v>
      </c>
      <c r="B35" t="s">
        <v>194</v>
      </c>
      <c r="C35" s="8">
        <v>45444</v>
      </c>
      <c r="D35">
        <v>270021</v>
      </c>
      <c r="E35">
        <v>130140</v>
      </c>
    </row>
    <row r="36" spans="1:5" x14ac:dyDescent="0.35">
      <c r="A36" t="s">
        <v>1989</v>
      </c>
      <c r="B36" t="s">
        <v>194</v>
      </c>
      <c r="C36" s="8">
        <v>45413</v>
      </c>
      <c r="D36">
        <v>269672</v>
      </c>
      <c r="E36">
        <v>147731</v>
      </c>
    </row>
    <row r="37" spans="1:5" x14ac:dyDescent="0.35">
      <c r="A37" t="s">
        <v>1989</v>
      </c>
      <c r="B37" t="s">
        <v>194</v>
      </c>
      <c r="C37" s="8">
        <v>45383</v>
      </c>
      <c r="D37">
        <v>250489</v>
      </c>
      <c r="E37">
        <v>138315</v>
      </c>
    </row>
    <row r="38" spans="1:5" x14ac:dyDescent="0.35">
      <c r="A38" t="s">
        <v>1989</v>
      </c>
      <c r="B38" t="s">
        <v>194</v>
      </c>
      <c r="C38" s="8">
        <v>45352</v>
      </c>
      <c r="D38">
        <v>269814</v>
      </c>
      <c r="E38">
        <v>152176</v>
      </c>
    </row>
    <row r="39" spans="1:5" x14ac:dyDescent="0.35">
      <c r="A39" t="s">
        <v>1989</v>
      </c>
      <c r="B39" t="s">
        <v>194</v>
      </c>
      <c r="C39" s="8">
        <v>45323</v>
      </c>
      <c r="D39">
        <v>260283</v>
      </c>
      <c r="E39">
        <v>168429</v>
      </c>
    </row>
    <row r="40" spans="1:5" x14ac:dyDescent="0.35">
      <c r="A40" t="s">
        <v>1989</v>
      </c>
      <c r="B40" t="s">
        <v>194</v>
      </c>
      <c r="C40" s="8">
        <v>45292</v>
      </c>
      <c r="D40">
        <v>273354</v>
      </c>
      <c r="E40">
        <v>168344</v>
      </c>
    </row>
    <row r="41" spans="1:5" x14ac:dyDescent="0.35">
      <c r="A41" t="s">
        <v>1989</v>
      </c>
      <c r="B41" t="s">
        <v>194</v>
      </c>
      <c r="C41" s="8">
        <v>45261</v>
      </c>
      <c r="D41">
        <v>275984</v>
      </c>
      <c r="E41">
        <v>142231</v>
      </c>
    </row>
    <row r="42" spans="1:5" x14ac:dyDescent="0.35">
      <c r="A42" t="s">
        <v>1989</v>
      </c>
      <c r="B42" t="s">
        <v>194</v>
      </c>
      <c r="C42" s="8">
        <v>45231</v>
      </c>
      <c r="D42">
        <v>264787</v>
      </c>
      <c r="E42">
        <v>139012</v>
      </c>
    </row>
    <row r="43" spans="1:5" x14ac:dyDescent="0.35">
      <c r="A43" t="s">
        <v>1989</v>
      </c>
      <c r="B43" t="s">
        <v>194</v>
      </c>
      <c r="C43" s="8">
        <v>45200</v>
      </c>
      <c r="D43">
        <v>266259</v>
      </c>
      <c r="E43">
        <v>134380</v>
      </c>
    </row>
    <row r="44" spans="1:5" x14ac:dyDescent="0.35">
      <c r="A44" t="s">
        <v>1989</v>
      </c>
      <c r="B44" t="s">
        <v>194</v>
      </c>
      <c r="C44" s="8">
        <v>45170</v>
      </c>
      <c r="D44">
        <v>242220</v>
      </c>
      <c r="E44">
        <v>131564</v>
      </c>
    </row>
    <row r="45" spans="1:5" x14ac:dyDescent="0.35">
      <c r="A45" t="s">
        <v>1989</v>
      </c>
      <c r="B45" t="s">
        <v>194</v>
      </c>
      <c r="C45" s="8">
        <v>45139</v>
      </c>
      <c r="D45">
        <v>251859</v>
      </c>
      <c r="E45">
        <v>127914</v>
      </c>
    </row>
    <row r="46" spans="1:5" x14ac:dyDescent="0.35">
      <c r="A46" t="s">
        <v>1989</v>
      </c>
      <c r="B46" t="s">
        <v>44</v>
      </c>
      <c r="C46" s="8">
        <v>45444</v>
      </c>
      <c r="D46">
        <v>105963</v>
      </c>
      <c r="E46">
        <v>59456</v>
      </c>
    </row>
    <row r="47" spans="1:5" x14ac:dyDescent="0.35">
      <c r="A47" t="s">
        <v>1989</v>
      </c>
      <c r="B47" t="s">
        <v>44</v>
      </c>
      <c r="C47" s="8">
        <v>45413</v>
      </c>
      <c r="D47">
        <v>94872</v>
      </c>
      <c r="E47">
        <v>72105</v>
      </c>
    </row>
    <row r="48" spans="1:5" x14ac:dyDescent="0.35">
      <c r="A48" t="s">
        <v>1989</v>
      </c>
      <c r="B48" t="s">
        <v>44</v>
      </c>
      <c r="C48" s="8">
        <v>45383</v>
      </c>
      <c r="D48">
        <v>92409</v>
      </c>
      <c r="E48">
        <v>66899</v>
      </c>
    </row>
    <row r="49" spans="1:5" x14ac:dyDescent="0.35">
      <c r="A49" t="s">
        <v>1989</v>
      </c>
      <c r="B49" t="s">
        <v>44</v>
      </c>
      <c r="C49" s="8">
        <v>45352</v>
      </c>
      <c r="D49">
        <v>98925</v>
      </c>
      <c r="E49">
        <v>71454</v>
      </c>
    </row>
    <row r="50" spans="1:5" x14ac:dyDescent="0.35">
      <c r="A50" t="s">
        <v>1989</v>
      </c>
      <c r="B50" t="s">
        <v>44</v>
      </c>
      <c r="C50" s="8">
        <v>45323</v>
      </c>
      <c r="D50">
        <v>97730</v>
      </c>
      <c r="E50">
        <v>76616</v>
      </c>
    </row>
    <row r="51" spans="1:5" x14ac:dyDescent="0.35">
      <c r="A51" t="s">
        <v>1989</v>
      </c>
      <c r="B51" t="s">
        <v>44</v>
      </c>
      <c r="C51" s="8">
        <v>45292</v>
      </c>
      <c r="D51">
        <v>98982</v>
      </c>
      <c r="E51">
        <v>78396</v>
      </c>
    </row>
    <row r="52" spans="1:5" x14ac:dyDescent="0.35">
      <c r="A52" t="s">
        <v>1989</v>
      </c>
      <c r="B52" t="s">
        <v>44</v>
      </c>
      <c r="C52" s="8">
        <v>45261</v>
      </c>
      <c r="D52">
        <v>99746</v>
      </c>
      <c r="E52">
        <v>61014</v>
      </c>
    </row>
    <row r="53" spans="1:5" x14ac:dyDescent="0.35">
      <c r="A53" t="s">
        <v>1989</v>
      </c>
      <c r="B53" t="s">
        <v>44</v>
      </c>
      <c r="C53" s="8">
        <v>45231</v>
      </c>
      <c r="D53">
        <v>88813</v>
      </c>
      <c r="E53">
        <v>74766</v>
      </c>
    </row>
    <row r="54" spans="1:5" x14ac:dyDescent="0.35">
      <c r="A54" t="s">
        <v>1989</v>
      </c>
      <c r="B54" t="s">
        <v>44</v>
      </c>
      <c r="C54" s="8">
        <v>45200</v>
      </c>
      <c r="D54">
        <v>88631</v>
      </c>
      <c r="E54">
        <v>61109</v>
      </c>
    </row>
    <row r="55" spans="1:5" x14ac:dyDescent="0.35">
      <c r="A55" t="s">
        <v>1989</v>
      </c>
      <c r="B55" t="s">
        <v>44</v>
      </c>
      <c r="C55" s="8">
        <v>45170</v>
      </c>
      <c r="D55">
        <v>79912</v>
      </c>
      <c r="E55">
        <v>63247</v>
      </c>
    </row>
    <row r="56" spans="1:5" x14ac:dyDescent="0.35">
      <c r="A56" t="s">
        <v>1989</v>
      </c>
      <c r="B56" t="s">
        <v>44</v>
      </c>
      <c r="C56" s="8">
        <v>45139</v>
      </c>
      <c r="D56">
        <v>86426</v>
      </c>
      <c r="E56">
        <v>61012</v>
      </c>
    </row>
    <row r="57" spans="1:5" x14ac:dyDescent="0.35">
      <c r="A57" t="s">
        <v>1989</v>
      </c>
      <c r="B57" t="s">
        <v>46</v>
      </c>
      <c r="C57" s="8">
        <v>45444</v>
      </c>
      <c r="D57">
        <v>28428</v>
      </c>
      <c r="E57">
        <v>24894</v>
      </c>
    </row>
    <row r="58" spans="1:5" x14ac:dyDescent="0.35">
      <c r="A58" t="s">
        <v>1989</v>
      </c>
      <c r="B58" t="s">
        <v>46</v>
      </c>
      <c r="C58" s="8">
        <v>45413</v>
      </c>
      <c r="D58">
        <v>34190</v>
      </c>
      <c r="E58">
        <v>28448</v>
      </c>
    </row>
    <row r="59" spans="1:5" x14ac:dyDescent="0.35">
      <c r="A59" t="s">
        <v>1989</v>
      </c>
      <c r="B59" t="s">
        <v>46</v>
      </c>
      <c r="C59" s="8">
        <v>45383</v>
      </c>
      <c r="D59">
        <v>34535</v>
      </c>
      <c r="E59">
        <v>25531</v>
      </c>
    </row>
    <row r="60" spans="1:5" x14ac:dyDescent="0.35">
      <c r="A60" t="s">
        <v>1989</v>
      </c>
      <c r="B60" t="s">
        <v>46</v>
      </c>
      <c r="C60" s="8">
        <v>45352</v>
      </c>
      <c r="D60">
        <v>34172</v>
      </c>
      <c r="E60">
        <v>26947</v>
      </c>
    </row>
    <row r="61" spans="1:5" x14ac:dyDescent="0.35">
      <c r="A61" t="s">
        <v>1989</v>
      </c>
      <c r="B61" t="s">
        <v>46</v>
      </c>
      <c r="C61" s="8">
        <v>45323</v>
      </c>
      <c r="D61">
        <v>35202</v>
      </c>
      <c r="E61">
        <v>32050</v>
      </c>
    </row>
    <row r="62" spans="1:5" x14ac:dyDescent="0.35">
      <c r="A62" t="s">
        <v>1989</v>
      </c>
      <c r="B62" t="s">
        <v>46</v>
      </c>
      <c r="C62" s="8">
        <v>45292</v>
      </c>
      <c r="D62">
        <v>37140</v>
      </c>
      <c r="E62">
        <v>31841</v>
      </c>
    </row>
    <row r="63" spans="1:5" x14ac:dyDescent="0.35">
      <c r="A63" t="s">
        <v>1989</v>
      </c>
      <c r="B63" t="s">
        <v>46</v>
      </c>
      <c r="C63" s="8">
        <v>45261</v>
      </c>
      <c r="D63">
        <v>41647</v>
      </c>
      <c r="E63">
        <v>26508</v>
      </c>
    </row>
    <row r="64" spans="1:5" x14ac:dyDescent="0.35">
      <c r="A64" t="s">
        <v>1989</v>
      </c>
      <c r="B64" t="s">
        <v>46</v>
      </c>
      <c r="C64" s="8">
        <v>45231</v>
      </c>
      <c r="D64">
        <v>37820</v>
      </c>
      <c r="E64">
        <v>28200</v>
      </c>
    </row>
    <row r="65" spans="1:5" x14ac:dyDescent="0.35">
      <c r="A65" t="s">
        <v>1989</v>
      </c>
      <c r="B65" t="s">
        <v>46</v>
      </c>
      <c r="C65" s="8">
        <v>45200</v>
      </c>
      <c r="D65">
        <v>39154</v>
      </c>
      <c r="E65">
        <v>24809</v>
      </c>
    </row>
    <row r="66" spans="1:5" x14ac:dyDescent="0.35">
      <c r="A66" t="s">
        <v>1989</v>
      </c>
      <c r="B66" t="s">
        <v>46</v>
      </c>
      <c r="C66" s="8">
        <v>45170</v>
      </c>
      <c r="D66">
        <v>36195</v>
      </c>
      <c r="E66">
        <v>25192</v>
      </c>
    </row>
    <row r="67" spans="1:5" x14ac:dyDescent="0.35">
      <c r="A67" t="s">
        <v>1989</v>
      </c>
      <c r="B67" t="s">
        <v>46</v>
      </c>
      <c r="C67" s="8">
        <v>45139</v>
      </c>
      <c r="D67">
        <v>34167</v>
      </c>
      <c r="E67">
        <v>24953</v>
      </c>
    </row>
    <row r="68" spans="1:5" x14ac:dyDescent="0.35">
      <c r="A68" t="s">
        <v>1989</v>
      </c>
      <c r="B68" t="s">
        <v>1990</v>
      </c>
      <c r="C68" s="8">
        <v>45444</v>
      </c>
      <c r="D68">
        <v>33104</v>
      </c>
      <c r="E68">
        <v>21407</v>
      </c>
    </row>
    <row r="69" spans="1:5" x14ac:dyDescent="0.35">
      <c r="A69" t="s">
        <v>1989</v>
      </c>
      <c r="B69" t="s">
        <v>1990</v>
      </c>
      <c r="C69" s="8">
        <v>45413</v>
      </c>
      <c r="D69">
        <v>34941</v>
      </c>
      <c r="E69">
        <v>26825</v>
      </c>
    </row>
    <row r="70" spans="1:5" x14ac:dyDescent="0.35">
      <c r="A70" t="s">
        <v>1989</v>
      </c>
      <c r="B70" t="s">
        <v>1990</v>
      </c>
      <c r="C70" s="8">
        <v>45383</v>
      </c>
      <c r="D70">
        <v>31329</v>
      </c>
      <c r="E70">
        <v>23810</v>
      </c>
    </row>
    <row r="71" spans="1:5" x14ac:dyDescent="0.35">
      <c r="A71" t="s">
        <v>1989</v>
      </c>
      <c r="B71" t="s">
        <v>1990</v>
      </c>
      <c r="C71" s="8">
        <v>45352</v>
      </c>
      <c r="D71">
        <v>34799</v>
      </c>
      <c r="E71">
        <v>25484</v>
      </c>
    </row>
    <row r="72" spans="1:5" x14ac:dyDescent="0.35">
      <c r="A72" t="s">
        <v>1989</v>
      </c>
      <c r="B72" t="s">
        <v>1990</v>
      </c>
      <c r="C72" s="8">
        <v>45323</v>
      </c>
      <c r="D72">
        <v>36174</v>
      </c>
      <c r="E72">
        <v>28343</v>
      </c>
    </row>
    <row r="73" spans="1:5" x14ac:dyDescent="0.35">
      <c r="A73" t="s">
        <v>1989</v>
      </c>
      <c r="B73" t="s">
        <v>1990</v>
      </c>
      <c r="C73" s="8">
        <v>45292</v>
      </c>
      <c r="D73">
        <v>34763</v>
      </c>
      <c r="E73">
        <v>29043</v>
      </c>
    </row>
    <row r="74" spans="1:5" x14ac:dyDescent="0.35">
      <c r="A74" t="s">
        <v>1989</v>
      </c>
      <c r="B74" t="s">
        <v>1990</v>
      </c>
      <c r="C74" s="8">
        <v>45261</v>
      </c>
      <c r="D74">
        <v>36674</v>
      </c>
      <c r="E74">
        <v>23773</v>
      </c>
    </row>
    <row r="75" spans="1:5" x14ac:dyDescent="0.35">
      <c r="A75" t="s">
        <v>1989</v>
      </c>
      <c r="B75" t="s">
        <v>1990</v>
      </c>
      <c r="C75" s="8">
        <v>45231</v>
      </c>
      <c r="D75">
        <v>33299</v>
      </c>
      <c r="E75">
        <v>23812</v>
      </c>
    </row>
    <row r="76" spans="1:5" x14ac:dyDescent="0.35">
      <c r="A76" t="s">
        <v>1989</v>
      </c>
      <c r="B76" t="s">
        <v>1990</v>
      </c>
      <c r="C76" s="8">
        <v>45200</v>
      </c>
      <c r="D76">
        <v>33772</v>
      </c>
      <c r="E76">
        <v>21926</v>
      </c>
    </row>
    <row r="77" spans="1:5" x14ac:dyDescent="0.35">
      <c r="A77" t="s">
        <v>1989</v>
      </c>
      <c r="B77" t="s">
        <v>1990</v>
      </c>
      <c r="C77" s="8">
        <v>45170</v>
      </c>
      <c r="D77">
        <v>30722</v>
      </c>
      <c r="E77">
        <v>21632</v>
      </c>
    </row>
    <row r="78" spans="1:5" x14ac:dyDescent="0.35">
      <c r="A78" t="s">
        <v>1989</v>
      </c>
      <c r="B78" t="s">
        <v>1990</v>
      </c>
      <c r="C78" s="8">
        <v>45139</v>
      </c>
      <c r="D78">
        <v>31156</v>
      </c>
      <c r="E78">
        <v>20711</v>
      </c>
    </row>
    <row r="79" spans="1:5" x14ac:dyDescent="0.35">
      <c r="A79" t="s">
        <v>1989</v>
      </c>
      <c r="B79" t="s">
        <v>52</v>
      </c>
      <c r="C79" s="8">
        <v>45444</v>
      </c>
      <c r="D79">
        <v>182814</v>
      </c>
      <c r="E79">
        <v>104829</v>
      </c>
    </row>
    <row r="80" spans="1:5" x14ac:dyDescent="0.35">
      <c r="A80" t="s">
        <v>1989</v>
      </c>
      <c r="B80" t="s">
        <v>52</v>
      </c>
      <c r="C80" s="8">
        <v>45413</v>
      </c>
      <c r="D80">
        <v>176827</v>
      </c>
      <c r="E80">
        <v>124950</v>
      </c>
    </row>
    <row r="81" spans="1:5" x14ac:dyDescent="0.35">
      <c r="A81" t="s">
        <v>1989</v>
      </c>
      <c r="B81" t="s">
        <v>52</v>
      </c>
      <c r="C81" s="8">
        <v>45383</v>
      </c>
      <c r="D81">
        <v>170086</v>
      </c>
      <c r="E81">
        <v>106239</v>
      </c>
    </row>
    <row r="82" spans="1:5" x14ac:dyDescent="0.35">
      <c r="A82" t="s">
        <v>1989</v>
      </c>
      <c r="B82" t="s">
        <v>52</v>
      </c>
      <c r="C82" s="8">
        <v>45352</v>
      </c>
      <c r="D82">
        <v>179526</v>
      </c>
      <c r="E82">
        <v>121862</v>
      </c>
    </row>
    <row r="83" spans="1:5" x14ac:dyDescent="0.35">
      <c r="A83" t="s">
        <v>1989</v>
      </c>
      <c r="B83" t="s">
        <v>52</v>
      </c>
      <c r="C83" s="8">
        <v>45323</v>
      </c>
      <c r="D83">
        <v>178031</v>
      </c>
      <c r="E83">
        <v>136470</v>
      </c>
    </row>
    <row r="84" spans="1:5" x14ac:dyDescent="0.35">
      <c r="A84" t="s">
        <v>1989</v>
      </c>
      <c r="B84" t="s">
        <v>52</v>
      </c>
      <c r="C84" s="8">
        <v>45292</v>
      </c>
      <c r="D84">
        <v>179433</v>
      </c>
      <c r="E84">
        <v>134517</v>
      </c>
    </row>
    <row r="85" spans="1:5" x14ac:dyDescent="0.35">
      <c r="A85" t="s">
        <v>1989</v>
      </c>
      <c r="B85" t="s">
        <v>52</v>
      </c>
      <c r="C85" s="8">
        <v>45261</v>
      </c>
      <c r="D85">
        <v>185704</v>
      </c>
      <c r="E85">
        <v>118317</v>
      </c>
    </row>
    <row r="86" spans="1:5" x14ac:dyDescent="0.35">
      <c r="A86" t="s">
        <v>1989</v>
      </c>
      <c r="B86" t="s">
        <v>52</v>
      </c>
      <c r="C86" s="8">
        <v>45231</v>
      </c>
      <c r="D86">
        <v>164152</v>
      </c>
      <c r="E86">
        <v>121742</v>
      </c>
    </row>
    <row r="87" spans="1:5" x14ac:dyDescent="0.35">
      <c r="A87" t="s">
        <v>1989</v>
      </c>
      <c r="B87" t="s">
        <v>52</v>
      </c>
      <c r="C87" s="8">
        <v>45200</v>
      </c>
      <c r="D87">
        <v>163453</v>
      </c>
      <c r="E87">
        <v>106688</v>
      </c>
    </row>
    <row r="88" spans="1:5" x14ac:dyDescent="0.35">
      <c r="A88" t="s">
        <v>1989</v>
      </c>
      <c r="B88" t="s">
        <v>52</v>
      </c>
      <c r="C88" s="8">
        <v>45170</v>
      </c>
      <c r="D88">
        <v>161328</v>
      </c>
      <c r="E88">
        <v>110521</v>
      </c>
    </row>
    <row r="89" spans="1:5" x14ac:dyDescent="0.35">
      <c r="A89" t="s">
        <v>1989</v>
      </c>
      <c r="B89" t="s">
        <v>52</v>
      </c>
      <c r="C89" s="8">
        <v>45139</v>
      </c>
      <c r="D89">
        <v>165165</v>
      </c>
      <c r="E89">
        <v>108740</v>
      </c>
    </row>
    <row r="90" spans="1:5" x14ac:dyDescent="0.35">
      <c r="A90" t="s">
        <v>1989</v>
      </c>
      <c r="B90" t="s">
        <v>1991</v>
      </c>
      <c r="C90" s="8">
        <v>45444</v>
      </c>
      <c r="D90">
        <v>27348</v>
      </c>
      <c r="E90">
        <v>14402</v>
      </c>
    </row>
    <row r="91" spans="1:5" x14ac:dyDescent="0.35">
      <c r="A91" t="s">
        <v>1989</v>
      </c>
      <c r="B91" t="s">
        <v>1991</v>
      </c>
      <c r="C91" s="8">
        <v>45413</v>
      </c>
      <c r="D91">
        <v>26270</v>
      </c>
      <c r="E91">
        <v>14669</v>
      </c>
    </row>
    <row r="92" spans="1:5" x14ac:dyDescent="0.35">
      <c r="A92" t="s">
        <v>1989</v>
      </c>
      <c r="B92" t="s">
        <v>1991</v>
      </c>
      <c r="C92" s="8">
        <v>45383</v>
      </c>
      <c r="D92">
        <v>23291</v>
      </c>
      <c r="E92">
        <v>13559</v>
      </c>
    </row>
    <row r="93" spans="1:5" x14ac:dyDescent="0.35">
      <c r="A93" t="s">
        <v>1989</v>
      </c>
      <c r="B93" t="s">
        <v>1991</v>
      </c>
      <c r="C93" s="8">
        <v>45352</v>
      </c>
      <c r="D93">
        <v>24893</v>
      </c>
      <c r="E93">
        <v>14429</v>
      </c>
    </row>
    <row r="94" spans="1:5" x14ac:dyDescent="0.35">
      <c r="A94" t="s">
        <v>1989</v>
      </c>
      <c r="B94" t="s">
        <v>1991</v>
      </c>
      <c r="C94" s="8">
        <v>45323</v>
      </c>
      <c r="D94">
        <v>23146</v>
      </c>
      <c r="E94">
        <v>15085</v>
      </c>
    </row>
    <row r="95" spans="1:5" x14ac:dyDescent="0.35">
      <c r="A95" t="s">
        <v>1989</v>
      </c>
      <c r="B95" t="s">
        <v>1991</v>
      </c>
      <c r="C95" s="8">
        <v>45292</v>
      </c>
      <c r="D95">
        <v>22012</v>
      </c>
      <c r="E95">
        <v>15997</v>
      </c>
    </row>
    <row r="96" spans="1:5" x14ac:dyDescent="0.35">
      <c r="A96" t="s">
        <v>1989</v>
      </c>
      <c r="B96" t="s">
        <v>1991</v>
      </c>
      <c r="C96" s="8">
        <v>45261</v>
      </c>
      <c r="D96">
        <v>23398</v>
      </c>
      <c r="E96">
        <v>13389</v>
      </c>
    </row>
    <row r="97" spans="1:5" x14ac:dyDescent="0.35">
      <c r="A97" t="s">
        <v>1989</v>
      </c>
      <c r="B97" t="s">
        <v>1991</v>
      </c>
      <c r="C97" s="8">
        <v>45231</v>
      </c>
      <c r="D97">
        <v>21733</v>
      </c>
      <c r="E97">
        <v>14867</v>
      </c>
    </row>
    <row r="98" spans="1:5" x14ac:dyDescent="0.35">
      <c r="A98" t="s">
        <v>1989</v>
      </c>
      <c r="B98" t="s">
        <v>1991</v>
      </c>
      <c r="C98" s="8">
        <v>45200</v>
      </c>
      <c r="D98">
        <v>21865</v>
      </c>
      <c r="E98">
        <v>12760</v>
      </c>
    </row>
    <row r="99" spans="1:5" x14ac:dyDescent="0.35">
      <c r="A99" t="s">
        <v>1989</v>
      </c>
      <c r="B99" t="s">
        <v>1991</v>
      </c>
      <c r="C99" s="8">
        <v>45170</v>
      </c>
      <c r="D99">
        <v>19206</v>
      </c>
      <c r="E99">
        <v>13014</v>
      </c>
    </row>
    <row r="100" spans="1:5" x14ac:dyDescent="0.35">
      <c r="A100" t="s">
        <v>1989</v>
      </c>
      <c r="B100" t="s">
        <v>1991</v>
      </c>
      <c r="C100" s="8">
        <v>45139</v>
      </c>
      <c r="D100">
        <v>20044</v>
      </c>
      <c r="E100">
        <v>12083</v>
      </c>
    </row>
    <row r="101" spans="1:5" x14ac:dyDescent="0.35">
      <c r="A101" t="s">
        <v>1989</v>
      </c>
      <c r="B101" t="s">
        <v>55</v>
      </c>
      <c r="C101" s="8">
        <v>45444</v>
      </c>
      <c r="D101">
        <v>383170</v>
      </c>
      <c r="E101">
        <v>182550</v>
      </c>
    </row>
    <row r="102" spans="1:5" x14ac:dyDescent="0.35">
      <c r="A102" t="s">
        <v>1989</v>
      </c>
      <c r="B102" t="s">
        <v>55</v>
      </c>
      <c r="C102" s="8">
        <v>45413</v>
      </c>
      <c r="D102">
        <v>395617</v>
      </c>
      <c r="E102">
        <v>197836</v>
      </c>
    </row>
    <row r="103" spans="1:5" x14ac:dyDescent="0.35">
      <c r="A103" t="s">
        <v>1989</v>
      </c>
      <c r="B103" t="s">
        <v>55</v>
      </c>
      <c r="C103" s="8">
        <v>45383</v>
      </c>
      <c r="D103">
        <v>379693</v>
      </c>
      <c r="E103">
        <v>185531</v>
      </c>
    </row>
    <row r="104" spans="1:5" x14ac:dyDescent="0.35">
      <c r="A104" t="s">
        <v>1989</v>
      </c>
      <c r="B104" t="s">
        <v>55</v>
      </c>
      <c r="C104" s="8">
        <v>45352</v>
      </c>
      <c r="D104">
        <v>397701</v>
      </c>
      <c r="E104">
        <v>191317</v>
      </c>
    </row>
    <row r="105" spans="1:5" x14ac:dyDescent="0.35">
      <c r="A105" t="s">
        <v>1989</v>
      </c>
      <c r="B105" t="s">
        <v>55</v>
      </c>
      <c r="C105" s="8">
        <v>45323</v>
      </c>
      <c r="D105">
        <v>401631</v>
      </c>
      <c r="E105">
        <v>207308</v>
      </c>
    </row>
    <row r="106" spans="1:5" x14ac:dyDescent="0.35">
      <c r="A106" t="s">
        <v>1989</v>
      </c>
      <c r="B106" t="s">
        <v>55</v>
      </c>
      <c r="C106" s="8">
        <v>45292</v>
      </c>
      <c r="D106">
        <v>435260</v>
      </c>
      <c r="E106">
        <v>199819</v>
      </c>
    </row>
    <row r="107" spans="1:5" x14ac:dyDescent="0.35">
      <c r="A107" t="s">
        <v>1989</v>
      </c>
      <c r="B107" t="s">
        <v>55</v>
      </c>
      <c r="C107" s="8">
        <v>45261</v>
      </c>
      <c r="D107">
        <v>443044</v>
      </c>
      <c r="E107">
        <v>191457</v>
      </c>
    </row>
    <row r="108" spans="1:5" x14ac:dyDescent="0.35">
      <c r="A108" t="s">
        <v>1989</v>
      </c>
      <c r="B108" t="s">
        <v>55</v>
      </c>
      <c r="C108" s="8">
        <v>45231</v>
      </c>
      <c r="D108">
        <v>407679</v>
      </c>
      <c r="E108">
        <v>197190</v>
      </c>
    </row>
    <row r="109" spans="1:5" x14ac:dyDescent="0.35">
      <c r="A109" t="s">
        <v>1989</v>
      </c>
      <c r="B109" t="s">
        <v>55</v>
      </c>
      <c r="C109" s="8">
        <v>45200</v>
      </c>
      <c r="D109">
        <v>416200</v>
      </c>
      <c r="E109">
        <v>179205</v>
      </c>
    </row>
    <row r="110" spans="1:5" x14ac:dyDescent="0.35">
      <c r="A110" t="s">
        <v>1989</v>
      </c>
      <c r="B110" t="s">
        <v>55</v>
      </c>
      <c r="C110" s="8">
        <v>45170</v>
      </c>
      <c r="D110">
        <v>387614</v>
      </c>
      <c r="E110">
        <v>187870</v>
      </c>
    </row>
    <row r="111" spans="1:5" x14ac:dyDescent="0.35">
      <c r="A111" t="s">
        <v>1989</v>
      </c>
      <c r="B111" t="s">
        <v>55</v>
      </c>
      <c r="C111" s="8">
        <v>45139</v>
      </c>
      <c r="D111">
        <v>369773</v>
      </c>
      <c r="E111">
        <v>175312</v>
      </c>
    </row>
    <row r="112" spans="1:5" x14ac:dyDescent="0.35">
      <c r="A112" t="s">
        <v>1989</v>
      </c>
      <c r="B112" t="s">
        <v>57</v>
      </c>
      <c r="C112" s="8">
        <v>45444</v>
      </c>
      <c r="D112">
        <v>70818</v>
      </c>
      <c r="E112">
        <v>47460</v>
      </c>
    </row>
    <row r="113" spans="1:5" x14ac:dyDescent="0.35">
      <c r="A113" t="s">
        <v>1989</v>
      </c>
      <c r="B113" t="s">
        <v>57</v>
      </c>
      <c r="C113" s="8">
        <v>45413</v>
      </c>
      <c r="D113">
        <v>66489</v>
      </c>
      <c r="E113">
        <v>53578</v>
      </c>
    </row>
    <row r="114" spans="1:5" x14ac:dyDescent="0.35">
      <c r="A114" t="s">
        <v>1989</v>
      </c>
      <c r="B114" t="s">
        <v>57</v>
      </c>
      <c r="C114" s="8">
        <v>45383</v>
      </c>
      <c r="D114">
        <v>69110</v>
      </c>
      <c r="E114">
        <v>49023</v>
      </c>
    </row>
    <row r="115" spans="1:5" x14ac:dyDescent="0.35">
      <c r="A115" t="s">
        <v>1989</v>
      </c>
      <c r="B115" t="s">
        <v>57</v>
      </c>
      <c r="C115" s="8">
        <v>45352</v>
      </c>
      <c r="D115">
        <v>77351</v>
      </c>
      <c r="E115">
        <v>53010</v>
      </c>
    </row>
    <row r="116" spans="1:5" x14ac:dyDescent="0.35">
      <c r="A116" t="s">
        <v>1989</v>
      </c>
      <c r="B116" t="s">
        <v>57</v>
      </c>
      <c r="C116" s="8">
        <v>45323</v>
      </c>
      <c r="D116">
        <v>65515</v>
      </c>
      <c r="E116">
        <v>58842</v>
      </c>
    </row>
    <row r="117" spans="1:5" x14ac:dyDescent="0.35">
      <c r="A117" t="s">
        <v>1989</v>
      </c>
      <c r="B117" t="s">
        <v>57</v>
      </c>
      <c r="C117" s="8">
        <v>45292</v>
      </c>
      <c r="D117">
        <v>70551</v>
      </c>
      <c r="E117">
        <v>60790</v>
      </c>
    </row>
    <row r="118" spans="1:5" x14ac:dyDescent="0.35">
      <c r="A118" t="s">
        <v>1989</v>
      </c>
      <c r="B118" t="s">
        <v>57</v>
      </c>
      <c r="C118" s="8">
        <v>45261</v>
      </c>
      <c r="D118">
        <v>62721</v>
      </c>
      <c r="E118">
        <v>50033</v>
      </c>
    </row>
    <row r="119" spans="1:5" x14ac:dyDescent="0.35">
      <c r="A119" t="s">
        <v>1989</v>
      </c>
      <c r="B119" t="s">
        <v>57</v>
      </c>
      <c r="C119" s="8">
        <v>45231</v>
      </c>
      <c r="D119">
        <v>66256</v>
      </c>
      <c r="E119">
        <v>53228</v>
      </c>
    </row>
    <row r="120" spans="1:5" x14ac:dyDescent="0.35">
      <c r="A120" t="s">
        <v>1989</v>
      </c>
      <c r="B120" t="s">
        <v>57</v>
      </c>
      <c r="C120" s="8">
        <v>45200</v>
      </c>
      <c r="D120">
        <v>58832</v>
      </c>
      <c r="E120">
        <v>46716</v>
      </c>
    </row>
    <row r="121" spans="1:5" x14ac:dyDescent="0.35">
      <c r="A121" t="s">
        <v>1989</v>
      </c>
      <c r="B121" t="s">
        <v>57</v>
      </c>
      <c r="C121" s="8">
        <v>45170</v>
      </c>
      <c r="D121">
        <v>58672</v>
      </c>
      <c r="E121">
        <v>47655</v>
      </c>
    </row>
    <row r="122" spans="1:5" x14ac:dyDescent="0.35">
      <c r="A122" t="s">
        <v>1989</v>
      </c>
      <c r="B122" t="s">
        <v>57</v>
      </c>
      <c r="C122" s="8">
        <v>45139</v>
      </c>
      <c r="D122">
        <v>58724</v>
      </c>
      <c r="E122">
        <v>46611</v>
      </c>
    </row>
    <row r="123" spans="1:5" x14ac:dyDescent="0.35">
      <c r="A123" t="s">
        <v>1989</v>
      </c>
      <c r="B123" t="s">
        <v>1992</v>
      </c>
      <c r="C123" s="8">
        <v>45444</v>
      </c>
      <c r="D123">
        <v>32147</v>
      </c>
      <c r="E123">
        <v>24703</v>
      </c>
    </row>
    <row r="124" spans="1:5" x14ac:dyDescent="0.35">
      <c r="A124" t="s">
        <v>1989</v>
      </c>
      <c r="B124" t="s">
        <v>1992</v>
      </c>
      <c r="C124" s="8">
        <v>45413</v>
      </c>
      <c r="D124">
        <v>30686</v>
      </c>
      <c r="E124">
        <v>28003</v>
      </c>
    </row>
    <row r="125" spans="1:5" x14ac:dyDescent="0.35">
      <c r="A125" t="s">
        <v>1989</v>
      </c>
      <c r="B125" t="s">
        <v>1992</v>
      </c>
      <c r="C125" s="8">
        <v>45383</v>
      </c>
      <c r="D125">
        <v>31062</v>
      </c>
      <c r="E125">
        <v>24787</v>
      </c>
    </row>
    <row r="126" spans="1:5" x14ac:dyDescent="0.35">
      <c r="A126" t="s">
        <v>1989</v>
      </c>
      <c r="B126" t="s">
        <v>1992</v>
      </c>
      <c r="C126" s="8">
        <v>45352</v>
      </c>
      <c r="D126">
        <v>33566</v>
      </c>
      <c r="E126">
        <v>26137</v>
      </c>
    </row>
    <row r="127" spans="1:5" x14ac:dyDescent="0.35">
      <c r="A127" t="s">
        <v>1989</v>
      </c>
      <c r="B127" t="s">
        <v>1992</v>
      </c>
      <c r="C127" s="8">
        <v>45323</v>
      </c>
      <c r="D127">
        <v>34162</v>
      </c>
      <c r="E127">
        <v>29843</v>
      </c>
    </row>
    <row r="128" spans="1:5" x14ac:dyDescent="0.35">
      <c r="A128" t="s">
        <v>1989</v>
      </c>
      <c r="B128" t="s">
        <v>1992</v>
      </c>
      <c r="C128" s="8">
        <v>45292</v>
      </c>
      <c r="D128">
        <v>35155</v>
      </c>
      <c r="E128">
        <v>28405</v>
      </c>
    </row>
    <row r="129" spans="1:5" x14ac:dyDescent="0.35">
      <c r="A129" t="s">
        <v>1989</v>
      </c>
      <c r="B129" t="s">
        <v>1992</v>
      </c>
      <c r="C129" s="8">
        <v>45261</v>
      </c>
      <c r="D129">
        <v>35265</v>
      </c>
      <c r="E129">
        <v>24567</v>
      </c>
    </row>
    <row r="130" spans="1:5" x14ac:dyDescent="0.35">
      <c r="A130" t="s">
        <v>1989</v>
      </c>
      <c r="B130" t="s">
        <v>1992</v>
      </c>
      <c r="C130" s="8">
        <v>45231</v>
      </c>
      <c r="D130">
        <v>31528</v>
      </c>
      <c r="E130">
        <v>26914</v>
      </c>
    </row>
    <row r="131" spans="1:5" x14ac:dyDescent="0.35">
      <c r="A131" t="s">
        <v>1989</v>
      </c>
      <c r="B131" t="s">
        <v>1992</v>
      </c>
      <c r="C131" s="8">
        <v>45200</v>
      </c>
      <c r="D131">
        <v>31358</v>
      </c>
      <c r="E131">
        <v>23890</v>
      </c>
    </row>
    <row r="132" spans="1:5" x14ac:dyDescent="0.35">
      <c r="A132" t="s">
        <v>1989</v>
      </c>
      <c r="B132" t="s">
        <v>1992</v>
      </c>
      <c r="C132" s="8">
        <v>45170</v>
      </c>
      <c r="D132">
        <v>33415</v>
      </c>
      <c r="E132">
        <v>23883</v>
      </c>
    </row>
    <row r="133" spans="1:5" x14ac:dyDescent="0.35">
      <c r="A133" t="s">
        <v>1989</v>
      </c>
      <c r="B133" t="s">
        <v>1992</v>
      </c>
      <c r="C133" s="8">
        <v>45139</v>
      </c>
      <c r="D133">
        <v>32597</v>
      </c>
      <c r="E133">
        <v>22839</v>
      </c>
    </row>
    <row r="134" spans="1:5" x14ac:dyDescent="0.35">
      <c r="A134" t="s">
        <v>1989</v>
      </c>
      <c r="B134" t="s">
        <v>37</v>
      </c>
      <c r="C134" s="8">
        <v>45444</v>
      </c>
      <c r="D134">
        <v>8952</v>
      </c>
      <c r="E134">
        <v>7978</v>
      </c>
    </row>
    <row r="135" spans="1:5" x14ac:dyDescent="0.35">
      <c r="A135" t="s">
        <v>1989</v>
      </c>
      <c r="B135" t="s">
        <v>37</v>
      </c>
      <c r="C135" s="8">
        <v>45413</v>
      </c>
      <c r="D135">
        <v>8811</v>
      </c>
      <c r="E135">
        <v>8105</v>
      </c>
    </row>
    <row r="136" spans="1:5" x14ac:dyDescent="0.35">
      <c r="A136" t="s">
        <v>1989</v>
      </c>
      <c r="B136" t="s">
        <v>37</v>
      </c>
      <c r="C136" s="8">
        <v>45383</v>
      </c>
      <c r="D136">
        <v>8633</v>
      </c>
      <c r="E136">
        <v>7850</v>
      </c>
    </row>
    <row r="137" spans="1:5" x14ac:dyDescent="0.35">
      <c r="A137" t="s">
        <v>1989</v>
      </c>
      <c r="B137" t="s">
        <v>37</v>
      </c>
      <c r="C137" s="8">
        <v>45352</v>
      </c>
      <c r="D137">
        <v>9520</v>
      </c>
      <c r="E137">
        <v>8213</v>
      </c>
    </row>
    <row r="138" spans="1:5" x14ac:dyDescent="0.35">
      <c r="A138" t="s">
        <v>1989</v>
      </c>
      <c r="B138" t="s">
        <v>37</v>
      </c>
      <c r="C138" s="8">
        <v>45323</v>
      </c>
      <c r="D138">
        <v>9441</v>
      </c>
      <c r="E138">
        <v>10309</v>
      </c>
    </row>
    <row r="139" spans="1:5" x14ac:dyDescent="0.35">
      <c r="A139" t="s">
        <v>1989</v>
      </c>
      <c r="B139" t="s">
        <v>37</v>
      </c>
      <c r="C139" s="8">
        <v>45292</v>
      </c>
      <c r="D139">
        <v>8906</v>
      </c>
      <c r="E139">
        <v>9246</v>
      </c>
    </row>
    <row r="140" spans="1:5" x14ac:dyDescent="0.35">
      <c r="A140" t="s">
        <v>1989</v>
      </c>
      <c r="B140" t="s">
        <v>37</v>
      </c>
      <c r="C140" s="8">
        <v>45261</v>
      </c>
      <c r="D140">
        <v>9004</v>
      </c>
      <c r="E140">
        <v>7446</v>
      </c>
    </row>
    <row r="141" spans="1:5" x14ac:dyDescent="0.35">
      <c r="A141" t="s">
        <v>1989</v>
      </c>
      <c r="B141" t="s">
        <v>37</v>
      </c>
      <c r="C141" s="8">
        <v>45231</v>
      </c>
      <c r="D141">
        <v>8390</v>
      </c>
      <c r="E141">
        <v>8163</v>
      </c>
    </row>
    <row r="142" spans="1:5" x14ac:dyDescent="0.35">
      <c r="A142" t="s">
        <v>1989</v>
      </c>
      <c r="B142" t="s">
        <v>37</v>
      </c>
      <c r="C142" s="8">
        <v>45200</v>
      </c>
      <c r="D142">
        <v>8505</v>
      </c>
      <c r="E142">
        <v>8053</v>
      </c>
    </row>
    <row r="143" spans="1:5" x14ac:dyDescent="0.35">
      <c r="A143" t="s">
        <v>1989</v>
      </c>
      <c r="B143" t="s">
        <v>37</v>
      </c>
      <c r="C143" s="8">
        <v>45170</v>
      </c>
      <c r="D143">
        <v>7254</v>
      </c>
      <c r="E143">
        <v>7206</v>
      </c>
    </row>
    <row r="144" spans="1:5" x14ac:dyDescent="0.35">
      <c r="A144" t="s">
        <v>1989</v>
      </c>
      <c r="B144" t="s">
        <v>37</v>
      </c>
      <c r="C144" s="8">
        <v>45139</v>
      </c>
      <c r="D144">
        <v>7315</v>
      </c>
      <c r="E144">
        <v>6429</v>
      </c>
    </row>
    <row r="145" spans="1:5" x14ac:dyDescent="0.35">
      <c r="A145" t="s">
        <v>1989</v>
      </c>
      <c r="B145" t="s">
        <v>50</v>
      </c>
      <c r="C145" s="8">
        <v>45444</v>
      </c>
      <c r="D145">
        <v>27171</v>
      </c>
      <c r="E145">
        <v>13871</v>
      </c>
    </row>
    <row r="146" spans="1:5" x14ac:dyDescent="0.35">
      <c r="A146" t="s">
        <v>1989</v>
      </c>
      <c r="B146" t="s">
        <v>50</v>
      </c>
      <c r="C146" s="8">
        <v>45413</v>
      </c>
      <c r="D146">
        <v>27079</v>
      </c>
      <c r="E146">
        <v>16121</v>
      </c>
    </row>
    <row r="147" spans="1:5" x14ac:dyDescent="0.35">
      <c r="A147" t="s">
        <v>1989</v>
      </c>
      <c r="B147" t="s">
        <v>50</v>
      </c>
      <c r="C147" s="8">
        <v>45383</v>
      </c>
      <c r="D147">
        <v>25475</v>
      </c>
      <c r="E147">
        <v>15191</v>
      </c>
    </row>
    <row r="148" spans="1:5" x14ac:dyDescent="0.35">
      <c r="A148" t="s">
        <v>1989</v>
      </c>
      <c r="B148" t="s">
        <v>50</v>
      </c>
      <c r="C148" s="8">
        <v>45352</v>
      </c>
      <c r="D148">
        <v>25779</v>
      </c>
      <c r="E148">
        <v>16989</v>
      </c>
    </row>
    <row r="149" spans="1:5" x14ac:dyDescent="0.35">
      <c r="A149" t="s">
        <v>1989</v>
      </c>
      <c r="B149" t="s">
        <v>50</v>
      </c>
      <c r="C149" s="8">
        <v>45323</v>
      </c>
      <c r="D149">
        <v>25976</v>
      </c>
      <c r="E149">
        <v>15445</v>
      </c>
    </row>
    <row r="150" spans="1:5" x14ac:dyDescent="0.35">
      <c r="A150" t="s">
        <v>1989</v>
      </c>
      <c r="B150" t="s">
        <v>50</v>
      </c>
      <c r="C150" s="8">
        <v>45292</v>
      </c>
      <c r="D150">
        <v>26581</v>
      </c>
      <c r="E150">
        <v>17479</v>
      </c>
    </row>
    <row r="151" spans="1:5" x14ac:dyDescent="0.35">
      <c r="A151" t="s">
        <v>1989</v>
      </c>
      <c r="B151" t="s">
        <v>50</v>
      </c>
      <c r="C151" s="8">
        <v>45261</v>
      </c>
      <c r="D151">
        <v>25578</v>
      </c>
      <c r="E151">
        <v>14654</v>
      </c>
    </row>
    <row r="152" spans="1:5" x14ac:dyDescent="0.35">
      <c r="A152" t="s">
        <v>1989</v>
      </c>
      <c r="B152" t="s">
        <v>50</v>
      </c>
      <c r="C152" s="8">
        <v>45231</v>
      </c>
      <c r="D152">
        <v>23157</v>
      </c>
      <c r="E152">
        <v>14812</v>
      </c>
    </row>
    <row r="153" spans="1:5" x14ac:dyDescent="0.35">
      <c r="A153" t="s">
        <v>1989</v>
      </c>
      <c r="B153" t="s">
        <v>50</v>
      </c>
      <c r="C153" s="8">
        <v>45200</v>
      </c>
      <c r="D153">
        <v>23240</v>
      </c>
      <c r="E153">
        <v>13041</v>
      </c>
    </row>
    <row r="154" spans="1:5" x14ac:dyDescent="0.35">
      <c r="A154" t="s">
        <v>1989</v>
      </c>
      <c r="B154" t="s">
        <v>50</v>
      </c>
      <c r="C154" s="8">
        <v>45170</v>
      </c>
      <c r="D154">
        <v>21587</v>
      </c>
      <c r="E154">
        <v>15109</v>
      </c>
    </row>
    <row r="155" spans="1:5" x14ac:dyDescent="0.35">
      <c r="A155" t="s">
        <v>1989</v>
      </c>
      <c r="B155" t="s">
        <v>50</v>
      </c>
      <c r="C155" s="8">
        <v>45139</v>
      </c>
      <c r="D155">
        <v>22654</v>
      </c>
      <c r="E155">
        <v>13042</v>
      </c>
    </row>
    <row r="156" spans="1:5" x14ac:dyDescent="0.35">
      <c r="A156" t="s">
        <v>1989</v>
      </c>
      <c r="B156" t="s">
        <v>59</v>
      </c>
      <c r="C156" s="8">
        <v>45444</v>
      </c>
      <c r="D156">
        <v>8342</v>
      </c>
      <c r="E156">
        <v>3726</v>
      </c>
    </row>
    <row r="157" spans="1:5" x14ac:dyDescent="0.35">
      <c r="A157" t="s">
        <v>1989</v>
      </c>
      <c r="B157" t="s">
        <v>59</v>
      </c>
      <c r="C157" s="8">
        <v>45413</v>
      </c>
      <c r="D157">
        <v>8339</v>
      </c>
      <c r="E157">
        <v>3428</v>
      </c>
    </row>
    <row r="158" spans="1:5" x14ac:dyDescent="0.35">
      <c r="A158" t="s">
        <v>1989</v>
      </c>
      <c r="B158" t="s">
        <v>59</v>
      </c>
      <c r="C158" s="8">
        <v>45383</v>
      </c>
      <c r="D158">
        <v>7852</v>
      </c>
      <c r="E158">
        <v>3750</v>
      </c>
    </row>
    <row r="159" spans="1:5" x14ac:dyDescent="0.35">
      <c r="A159" t="s">
        <v>1989</v>
      </c>
      <c r="B159" t="s">
        <v>59</v>
      </c>
      <c r="C159" s="8">
        <v>45352</v>
      </c>
      <c r="D159">
        <v>8405</v>
      </c>
      <c r="E159">
        <v>4315</v>
      </c>
    </row>
    <row r="160" spans="1:5" x14ac:dyDescent="0.35">
      <c r="A160" t="s">
        <v>1989</v>
      </c>
      <c r="B160" t="s">
        <v>59</v>
      </c>
      <c r="C160" s="8">
        <v>45323</v>
      </c>
      <c r="D160">
        <v>10424</v>
      </c>
      <c r="E160">
        <v>3755</v>
      </c>
    </row>
    <row r="161" spans="1:5" x14ac:dyDescent="0.35">
      <c r="A161" t="s">
        <v>1989</v>
      </c>
      <c r="B161" t="s">
        <v>59</v>
      </c>
      <c r="C161" s="8">
        <v>45292</v>
      </c>
      <c r="D161">
        <v>10337</v>
      </c>
      <c r="E161">
        <v>4558</v>
      </c>
    </row>
    <row r="162" spans="1:5" x14ac:dyDescent="0.35">
      <c r="A162" t="s">
        <v>1989</v>
      </c>
      <c r="B162" t="s">
        <v>59</v>
      </c>
      <c r="C162" s="8">
        <v>45261</v>
      </c>
      <c r="D162">
        <v>7531</v>
      </c>
      <c r="E162">
        <v>3448</v>
      </c>
    </row>
    <row r="163" spans="1:5" x14ac:dyDescent="0.35">
      <c r="A163" t="s">
        <v>1989</v>
      </c>
      <c r="B163" t="s">
        <v>59</v>
      </c>
      <c r="C163" s="8">
        <v>45231</v>
      </c>
      <c r="D163">
        <v>5992</v>
      </c>
      <c r="E163">
        <v>3516</v>
      </c>
    </row>
    <row r="164" spans="1:5" x14ac:dyDescent="0.35">
      <c r="A164" t="s">
        <v>1989</v>
      </c>
      <c r="B164" t="s">
        <v>59</v>
      </c>
      <c r="C164" s="8">
        <v>45200</v>
      </c>
      <c r="D164">
        <v>7941</v>
      </c>
      <c r="E164">
        <v>3441</v>
      </c>
    </row>
    <row r="165" spans="1:5" x14ac:dyDescent="0.35">
      <c r="A165" t="s">
        <v>1989</v>
      </c>
      <c r="B165" t="s">
        <v>59</v>
      </c>
      <c r="C165" s="8">
        <v>45170</v>
      </c>
      <c r="D165">
        <v>7672</v>
      </c>
      <c r="E165">
        <v>3411</v>
      </c>
    </row>
    <row r="166" spans="1:5" x14ac:dyDescent="0.35">
      <c r="A166" t="s">
        <v>1989</v>
      </c>
      <c r="B166" t="s">
        <v>59</v>
      </c>
      <c r="C166" s="8">
        <v>45139</v>
      </c>
      <c r="D166">
        <v>7851</v>
      </c>
      <c r="E166">
        <v>3108</v>
      </c>
    </row>
    <row r="167" spans="1:5" x14ac:dyDescent="0.35">
      <c r="A167" t="s">
        <v>1989</v>
      </c>
      <c r="B167" t="s">
        <v>53</v>
      </c>
      <c r="C167" s="8">
        <v>45444</v>
      </c>
      <c r="D167">
        <v>3401</v>
      </c>
      <c r="E167">
        <v>2651</v>
      </c>
    </row>
    <row r="168" spans="1:5" x14ac:dyDescent="0.35">
      <c r="A168" t="s">
        <v>1989</v>
      </c>
      <c r="B168" t="s">
        <v>53</v>
      </c>
      <c r="C168" s="8">
        <v>45413</v>
      </c>
      <c r="D168">
        <v>3383</v>
      </c>
      <c r="E168">
        <v>2931</v>
      </c>
    </row>
    <row r="169" spans="1:5" x14ac:dyDescent="0.35">
      <c r="A169" t="s">
        <v>1989</v>
      </c>
      <c r="B169" t="s">
        <v>53</v>
      </c>
      <c r="C169" s="8">
        <v>45383</v>
      </c>
      <c r="D169">
        <v>3461</v>
      </c>
      <c r="E169">
        <v>3253</v>
      </c>
    </row>
    <row r="170" spans="1:5" x14ac:dyDescent="0.35">
      <c r="A170" t="s">
        <v>1989</v>
      </c>
      <c r="B170" t="s">
        <v>53</v>
      </c>
      <c r="C170" s="8">
        <v>45352</v>
      </c>
      <c r="D170">
        <v>5693</v>
      </c>
      <c r="E170">
        <v>3087</v>
      </c>
    </row>
    <row r="171" spans="1:5" x14ac:dyDescent="0.35">
      <c r="A171" t="s">
        <v>1989</v>
      </c>
      <c r="B171" t="s">
        <v>53</v>
      </c>
      <c r="C171" s="8">
        <v>45323</v>
      </c>
      <c r="D171">
        <v>5464</v>
      </c>
      <c r="E171">
        <v>2978</v>
      </c>
    </row>
    <row r="172" spans="1:5" x14ac:dyDescent="0.35">
      <c r="A172" t="s">
        <v>1989</v>
      </c>
      <c r="B172" t="s">
        <v>53</v>
      </c>
      <c r="C172" s="8">
        <v>45292</v>
      </c>
      <c r="D172">
        <v>5165</v>
      </c>
      <c r="E172">
        <v>2941</v>
      </c>
    </row>
    <row r="173" spans="1:5" x14ac:dyDescent="0.35">
      <c r="A173" t="s">
        <v>1989</v>
      </c>
      <c r="B173" t="s">
        <v>53</v>
      </c>
      <c r="C173" s="8">
        <v>45261</v>
      </c>
      <c r="D173">
        <v>5065</v>
      </c>
      <c r="E173">
        <v>2606</v>
      </c>
    </row>
    <row r="174" spans="1:5" x14ac:dyDescent="0.35">
      <c r="A174" t="s">
        <v>1989</v>
      </c>
      <c r="B174" t="s">
        <v>53</v>
      </c>
      <c r="C174" s="8">
        <v>45231</v>
      </c>
      <c r="D174">
        <v>4472</v>
      </c>
      <c r="E174">
        <v>2606</v>
      </c>
    </row>
    <row r="175" spans="1:5" x14ac:dyDescent="0.35">
      <c r="A175" t="s">
        <v>1989</v>
      </c>
      <c r="B175" t="s">
        <v>53</v>
      </c>
      <c r="C175" s="8">
        <v>45200</v>
      </c>
      <c r="D175">
        <v>4238</v>
      </c>
      <c r="E175">
        <v>2244</v>
      </c>
    </row>
    <row r="176" spans="1:5" x14ac:dyDescent="0.35">
      <c r="A176" t="s">
        <v>1989</v>
      </c>
      <c r="B176" t="s">
        <v>53</v>
      </c>
      <c r="C176" s="8">
        <v>45170</v>
      </c>
      <c r="D176">
        <v>4017</v>
      </c>
      <c r="E176">
        <v>2471</v>
      </c>
    </row>
    <row r="177" spans="1:5" x14ac:dyDescent="0.35">
      <c r="A177" t="s">
        <v>1989</v>
      </c>
      <c r="B177" t="s">
        <v>53</v>
      </c>
      <c r="C177" s="8">
        <v>45139</v>
      </c>
      <c r="D177">
        <v>3900</v>
      </c>
      <c r="E177">
        <v>2281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4D5AA-AB0A-4627-B432-8D979BDA55D0}">
  <sheetPr codeName="Planilha8"/>
  <dimension ref="A1:E12"/>
  <sheetViews>
    <sheetView workbookViewId="0"/>
  </sheetViews>
  <sheetFormatPr defaultRowHeight="14.5" x14ac:dyDescent="0.35"/>
  <cols>
    <col min="1" max="1" width="11" bestFit="1" customWidth="1"/>
    <col min="2" max="2" width="10.7265625" bestFit="1" customWidth="1"/>
    <col min="3" max="3" width="21.1796875" bestFit="1" customWidth="1"/>
    <col min="4" max="4" width="33.54296875" bestFit="1" customWidth="1"/>
    <col min="5" max="5" width="37.1796875" bestFit="1" customWidth="1"/>
  </cols>
  <sheetData>
    <row r="1" spans="1:5" x14ac:dyDescent="0.35">
      <c r="A1" t="s">
        <v>7</v>
      </c>
      <c r="B1" t="s">
        <v>34</v>
      </c>
      <c r="C1" t="s">
        <v>8</v>
      </c>
      <c r="D1" t="s">
        <v>35</v>
      </c>
      <c r="E1" t="s">
        <v>1987</v>
      </c>
    </row>
    <row r="2" spans="1:5" x14ac:dyDescent="0.35">
      <c r="A2" t="s">
        <v>1989</v>
      </c>
      <c r="B2" s="8">
        <v>45444</v>
      </c>
      <c r="C2" t="s">
        <v>53</v>
      </c>
      <c r="D2">
        <v>3401</v>
      </c>
      <c r="E2">
        <v>2651</v>
      </c>
    </row>
    <row r="3" spans="1:5" x14ac:dyDescent="0.35">
      <c r="A3" t="s">
        <v>1989</v>
      </c>
      <c r="B3" s="8">
        <v>45413</v>
      </c>
      <c r="C3" t="s">
        <v>53</v>
      </c>
      <c r="D3">
        <v>3383</v>
      </c>
      <c r="E3">
        <v>2931</v>
      </c>
    </row>
    <row r="4" spans="1:5" x14ac:dyDescent="0.35">
      <c r="A4" t="s">
        <v>1989</v>
      </c>
      <c r="B4" s="8">
        <v>45383</v>
      </c>
      <c r="C4" t="s">
        <v>53</v>
      </c>
      <c r="D4">
        <v>3461</v>
      </c>
      <c r="E4">
        <v>3253</v>
      </c>
    </row>
    <row r="5" spans="1:5" x14ac:dyDescent="0.35">
      <c r="A5" t="s">
        <v>1989</v>
      </c>
      <c r="B5" s="8">
        <v>45352</v>
      </c>
      <c r="C5" t="s">
        <v>53</v>
      </c>
      <c r="D5">
        <v>5693</v>
      </c>
      <c r="E5">
        <v>3087</v>
      </c>
    </row>
    <row r="6" spans="1:5" x14ac:dyDescent="0.35">
      <c r="A6" t="s">
        <v>1989</v>
      </c>
      <c r="B6" s="8">
        <v>45323</v>
      </c>
      <c r="C6" t="s">
        <v>53</v>
      </c>
      <c r="D6">
        <v>5464</v>
      </c>
      <c r="E6">
        <v>2978</v>
      </c>
    </row>
    <row r="7" spans="1:5" x14ac:dyDescent="0.35">
      <c r="A7" t="s">
        <v>1989</v>
      </c>
      <c r="B7" s="8">
        <v>45292</v>
      </c>
      <c r="C7" t="s">
        <v>53</v>
      </c>
      <c r="D7">
        <v>5165</v>
      </c>
      <c r="E7">
        <v>2941</v>
      </c>
    </row>
    <row r="8" spans="1:5" x14ac:dyDescent="0.35">
      <c r="A8" t="s">
        <v>1989</v>
      </c>
      <c r="B8" s="8">
        <v>45261</v>
      </c>
      <c r="C8" t="s">
        <v>53</v>
      </c>
      <c r="D8">
        <v>5065</v>
      </c>
      <c r="E8">
        <v>2606</v>
      </c>
    </row>
    <row r="9" spans="1:5" x14ac:dyDescent="0.35">
      <c r="A9" t="s">
        <v>1989</v>
      </c>
      <c r="B9" s="8">
        <v>45231</v>
      </c>
      <c r="C9" t="s">
        <v>53</v>
      </c>
      <c r="D9">
        <v>4472</v>
      </c>
      <c r="E9">
        <v>2606</v>
      </c>
    </row>
    <row r="10" spans="1:5" x14ac:dyDescent="0.35">
      <c r="A10" t="s">
        <v>1989</v>
      </c>
      <c r="B10" s="8">
        <v>45200</v>
      </c>
      <c r="C10" t="s">
        <v>53</v>
      </c>
      <c r="D10">
        <v>4238</v>
      </c>
      <c r="E10">
        <v>2244</v>
      </c>
    </row>
    <row r="11" spans="1:5" x14ac:dyDescent="0.35">
      <c r="A11" t="s">
        <v>1989</v>
      </c>
      <c r="B11" s="8">
        <v>45170</v>
      </c>
      <c r="C11" t="s">
        <v>53</v>
      </c>
      <c r="D11">
        <v>4017</v>
      </c>
      <c r="E11">
        <v>2471</v>
      </c>
    </row>
    <row r="12" spans="1:5" x14ac:dyDescent="0.35">
      <c r="A12" t="s">
        <v>1989</v>
      </c>
      <c r="B12" s="8">
        <v>45139</v>
      </c>
      <c r="C12" t="s">
        <v>53</v>
      </c>
      <c r="D12">
        <v>3900</v>
      </c>
      <c r="E12">
        <v>2281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63BB-C5F9-4403-BDB7-4F672CFA7204}">
  <sheetPr codeName="Planilha9"/>
  <dimension ref="A1:E12"/>
  <sheetViews>
    <sheetView workbookViewId="0"/>
  </sheetViews>
  <sheetFormatPr defaultRowHeight="14.5" x14ac:dyDescent="0.35"/>
  <cols>
    <col min="1" max="1" width="11" bestFit="1" customWidth="1"/>
    <col min="2" max="2" width="10.7265625" bestFit="1" customWidth="1"/>
    <col min="3" max="3" width="9.453125" bestFit="1" customWidth="1"/>
    <col min="4" max="4" width="33.54296875" bestFit="1" customWidth="1"/>
    <col min="5" max="5" width="37.1796875" bestFit="1" customWidth="1"/>
  </cols>
  <sheetData>
    <row r="1" spans="1:5" x14ac:dyDescent="0.35">
      <c r="A1" t="s">
        <v>7</v>
      </c>
      <c r="B1" t="s">
        <v>34</v>
      </c>
      <c r="C1" t="s">
        <v>8</v>
      </c>
      <c r="D1" t="s">
        <v>35</v>
      </c>
      <c r="E1" t="s">
        <v>1987</v>
      </c>
    </row>
    <row r="2" spans="1:5" x14ac:dyDescent="0.35">
      <c r="A2" t="s">
        <v>1989</v>
      </c>
      <c r="B2" s="8">
        <v>45444</v>
      </c>
      <c r="C2" t="s">
        <v>59</v>
      </c>
      <c r="D2">
        <v>8342</v>
      </c>
      <c r="E2">
        <v>3726</v>
      </c>
    </row>
    <row r="3" spans="1:5" x14ac:dyDescent="0.35">
      <c r="A3" t="s">
        <v>1989</v>
      </c>
      <c r="B3" s="8">
        <v>45413</v>
      </c>
      <c r="C3" t="s">
        <v>59</v>
      </c>
      <c r="D3">
        <v>8339</v>
      </c>
      <c r="E3">
        <v>3428</v>
      </c>
    </row>
    <row r="4" spans="1:5" x14ac:dyDescent="0.35">
      <c r="A4" t="s">
        <v>1989</v>
      </c>
      <c r="B4" s="8">
        <v>45383</v>
      </c>
      <c r="C4" t="s">
        <v>59</v>
      </c>
      <c r="D4">
        <v>7852</v>
      </c>
      <c r="E4">
        <v>3750</v>
      </c>
    </row>
    <row r="5" spans="1:5" x14ac:dyDescent="0.35">
      <c r="A5" t="s">
        <v>1989</v>
      </c>
      <c r="B5" s="8">
        <v>45352</v>
      </c>
      <c r="C5" t="s">
        <v>59</v>
      </c>
      <c r="D5">
        <v>8405</v>
      </c>
      <c r="E5">
        <v>4315</v>
      </c>
    </row>
    <row r="6" spans="1:5" x14ac:dyDescent="0.35">
      <c r="A6" t="s">
        <v>1989</v>
      </c>
      <c r="B6" s="8">
        <v>45323</v>
      </c>
      <c r="C6" t="s">
        <v>59</v>
      </c>
      <c r="D6">
        <v>10424</v>
      </c>
      <c r="E6">
        <v>3755</v>
      </c>
    </row>
    <row r="7" spans="1:5" x14ac:dyDescent="0.35">
      <c r="A7" t="s">
        <v>1989</v>
      </c>
      <c r="B7" s="8">
        <v>45292</v>
      </c>
      <c r="C7" t="s">
        <v>59</v>
      </c>
      <c r="D7">
        <v>10337</v>
      </c>
      <c r="E7">
        <v>4558</v>
      </c>
    </row>
    <row r="8" spans="1:5" x14ac:dyDescent="0.35">
      <c r="A8" t="s">
        <v>1989</v>
      </c>
      <c r="B8" s="8">
        <v>45261</v>
      </c>
      <c r="C8" t="s">
        <v>59</v>
      </c>
      <c r="D8">
        <v>7531</v>
      </c>
      <c r="E8">
        <v>3448</v>
      </c>
    </row>
    <row r="9" spans="1:5" x14ac:dyDescent="0.35">
      <c r="A9" t="s">
        <v>1989</v>
      </c>
      <c r="B9" s="8">
        <v>45231</v>
      </c>
      <c r="C9" t="s">
        <v>59</v>
      </c>
      <c r="D9">
        <v>5992</v>
      </c>
      <c r="E9">
        <v>3516</v>
      </c>
    </row>
    <row r="10" spans="1:5" x14ac:dyDescent="0.35">
      <c r="A10" t="s">
        <v>1989</v>
      </c>
      <c r="B10" s="8">
        <v>45200</v>
      </c>
      <c r="C10" t="s">
        <v>59</v>
      </c>
      <c r="D10">
        <v>7941</v>
      </c>
      <c r="E10">
        <v>3441</v>
      </c>
    </row>
    <row r="11" spans="1:5" x14ac:dyDescent="0.35">
      <c r="A11" t="s">
        <v>1989</v>
      </c>
      <c r="B11" s="8">
        <v>45170</v>
      </c>
      <c r="C11" t="s">
        <v>59</v>
      </c>
      <c r="D11">
        <v>7672</v>
      </c>
      <c r="E11">
        <v>3411</v>
      </c>
    </row>
    <row r="12" spans="1:5" x14ac:dyDescent="0.35">
      <c r="A12" t="s">
        <v>1989</v>
      </c>
      <c r="B12" s="8">
        <v>45139</v>
      </c>
      <c r="C12" t="s">
        <v>59</v>
      </c>
      <c r="D12">
        <v>7851</v>
      </c>
      <c r="E12">
        <v>3108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23A89-77B7-4AD0-9FA0-07353905B555}">
  <sheetPr codeName="Planilha10"/>
  <dimension ref="A1:E12"/>
  <sheetViews>
    <sheetView workbookViewId="0"/>
  </sheetViews>
  <sheetFormatPr defaultRowHeight="14.5" x14ac:dyDescent="0.35"/>
  <cols>
    <col min="1" max="1" width="11" bestFit="1" customWidth="1"/>
    <col min="2" max="2" width="10.7265625" bestFit="1" customWidth="1"/>
    <col min="3" max="3" width="21" bestFit="1" customWidth="1"/>
    <col min="4" max="4" width="33.54296875" bestFit="1" customWidth="1"/>
    <col min="5" max="5" width="37.1796875" bestFit="1" customWidth="1"/>
  </cols>
  <sheetData>
    <row r="1" spans="1:5" x14ac:dyDescent="0.35">
      <c r="A1" t="s">
        <v>7</v>
      </c>
      <c r="B1" t="s">
        <v>34</v>
      </c>
      <c r="C1" t="s">
        <v>8</v>
      </c>
      <c r="D1" t="s">
        <v>35</v>
      </c>
      <c r="E1" t="s">
        <v>1987</v>
      </c>
    </row>
    <row r="2" spans="1:5" x14ac:dyDescent="0.35">
      <c r="A2" t="s">
        <v>1989</v>
      </c>
      <c r="B2" s="8">
        <v>45444</v>
      </c>
      <c r="C2" t="s">
        <v>50</v>
      </c>
      <c r="D2">
        <v>27171</v>
      </c>
      <c r="E2">
        <v>13871</v>
      </c>
    </row>
    <row r="3" spans="1:5" x14ac:dyDescent="0.35">
      <c r="A3" t="s">
        <v>1989</v>
      </c>
      <c r="B3" s="8">
        <v>45413</v>
      </c>
      <c r="C3" t="s">
        <v>50</v>
      </c>
      <c r="D3">
        <v>27079</v>
      </c>
      <c r="E3">
        <v>16121</v>
      </c>
    </row>
    <row r="4" spans="1:5" x14ac:dyDescent="0.35">
      <c r="A4" t="s">
        <v>1989</v>
      </c>
      <c r="B4" s="8">
        <v>45383</v>
      </c>
      <c r="C4" t="s">
        <v>50</v>
      </c>
      <c r="D4">
        <v>25475</v>
      </c>
      <c r="E4">
        <v>15191</v>
      </c>
    </row>
    <row r="5" spans="1:5" x14ac:dyDescent="0.35">
      <c r="A5" t="s">
        <v>1989</v>
      </c>
      <c r="B5" s="8">
        <v>45352</v>
      </c>
      <c r="C5" t="s">
        <v>50</v>
      </c>
      <c r="D5">
        <v>25779</v>
      </c>
      <c r="E5">
        <v>16989</v>
      </c>
    </row>
    <row r="6" spans="1:5" x14ac:dyDescent="0.35">
      <c r="A6" t="s">
        <v>1989</v>
      </c>
      <c r="B6" s="8">
        <v>45323</v>
      </c>
      <c r="C6" t="s">
        <v>50</v>
      </c>
      <c r="D6">
        <v>25976</v>
      </c>
      <c r="E6">
        <v>15445</v>
      </c>
    </row>
    <row r="7" spans="1:5" x14ac:dyDescent="0.35">
      <c r="A7" t="s">
        <v>1989</v>
      </c>
      <c r="B7" s="8">
        <v>45292</v>
      </c>
      <c r="C7" t="s">
        <v>50</v>
      </c>
      <c r="D7">
        <v>26581</v>
      </c>
      <c r="E7">
        <v>17479</v>
      </c>
    </row>
    <row r="8" spans="1:5" x14ac:dyDescent="0.35">
      <c r="A8" t="s">
        <v>1989</v>
      </c>
      <c r="B8" s="8">
        <v>45261</v>
      </c>
      <c r="C8" t="s">
        <v>50</v>
      </c>
      <c r="D8">
        <v>25578</v>
      </c>
      <c r="E8">
        <v>14654</v>
      </c>
    </row>
    <row r="9" spans="1:5" x14ac:dyDescent="0.35">
      <c r="A9" t="s">
        <v>1989</v>
      </c>
      <c r="B9" s="8">
        <v>45231</v>
      </c>
      <c r="C9" t="s">
        <v>50</v>
      </c>
      <c r="D9">
        <v>23157</v>
      </c>
      <c r="E9">
        <v>14812</v>
      </c>
    </row>
    <row r="10" spans="1:5" x14ac:dyDescent="0.35">
      <c r="A10" t="s">
        <v>1989</v>
      </c>
      <c r="B10" s="8">
        <v>45200</v>
      </c>
      <c r="C10" t="s">
        <v>50</v>
      </c>
      <c r="D10">
        <v>23240</v>
      </c>
      <c r="E10">
        <v>13041</v>
      </c>
    </row>
    <row r="11" spans="1:5" x14ac:dyDescent="0.35">
      <c r="A11" t="s">
        <v>1989</v>
      </c>
      <c r="B11" s="8">
        <v>45170</v>
      </c>
      <c r="C11" t="s">
        <v>50</v>
      </c>
      <c r="D11">
        <v>21587</v>
      </c>
      <c r="E11">
        <v>15109</v>
      </c>
    </row>
    <row r="12" spans="1:5" x14ac:dyDescent="0.35">
      <c r="A12" t="s">
        <v>1989</v>
      </c>
      <c r="B12" s="8">
        <v>45139</v>
      </c>
      <c r="C12" t="s">
        <v>50</v>
      </c>
      <c r="D12">
        <v>22654</v>
      </c>
      <c r="E12">
        <v>13042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27766-AFA9-43A2-9415-831EDA4DA64E}">
  <sheetPr codeName="Planilha11"/>
  <dimension ref="A1:E12"/>
  <sheetViews>
    <sheetView workbookViewId="0"/>
  </sheetViews>
  <sheetFormatPr defaultRowHeight="14.5" x14ac:dyDescent="0.35"/>
  <cols>
    <col min="1" max="1" width="11" bestFit="1" customWidth="1"/>
    <col min="2" max="2" width="10.7265625" bestFit="1" customWidth="1"/>
    <col min="3" max="3" width="9.453125" bestFit="1" customWidth="1"/>
    <col min="4" max="4" width="33.54296875" bestFit="1" customWidth="1"/>
    <col min="5" max="5" width="37.1796875" bestFit="1" customWidth="1"/>
  </cols>
  <sheetData>
    <row r="1" spans="1:5" x14ac:dyDescent="0.35">
      <c r="A1" t="s">
        <v>7</v>
      </c>
      <c r="B1" t="s">
        <v>34</v>
      </c>
      <c r="C1" t="s">
        <v>8</v>
      </c>
      <c r="D1" t="s">
        <v>35</v>
      </c>
      <c r="E1" t="s">
        <v>1987</v>
      </c>
    </row>
    <row r="2" spans="1:5" x14ac:dyDescent="0.35">
      <c r="A2" t="s">
        <v>1989</v>
      </c>
      <c r="B2" s="8">
        <v>45444</v>
      </c>
      <c r="C2" t="s">
        <v>37</v>
      </c>
      <c r="D2">
        <v>8952</v>
      </c>
      <c r="E2">
        <v>7978</v>
      </c>
    </row>
    <row r="3" spans="1:5" x14ac:dyDescent="0.35">
      <c r="A3" t="s">
        <v>1989</v>
      </c>
      <c r="B3" s="8">
        <v>45413</v>
      </c>
      <c r="C3" t="s">
        <v>37</v>
      </c>
      <c r="D3">
        <v>8811</v>
      </c>
      <c r="E3">
        <v>8105</v>
      </c>
    </row>
    <row r="4" spans="1:5" x14ac:dyDescent="0.35">
      <c r="A4" t="s">
        <v>1989</v>
      </c>
      <c r="B4" s="8">
        <v>45383</v>
      </c>
      <c r="C4" t="s">
        <v>37</v>
      </c>
      <c r="D4">
        <v>8633</v>
      </c>
      <c r="E4">
        <v>7850</v>
      </c>
    </row>
    <row r="5" spans="1:5" x14ac:dyDescent="0.35">
      <c r="A5" t="s">
        <v>1989</v>
      </c>
      <c r="B5" s="8">
        <v>45352</v>
      </c>
      <c r="C5" t="s">
        <v>37</v>
      </c>
      <c r="D5">
        <v>9520</v>
      </c>
      <c r="E5">
        <v>8213</v>
      </c>
    </row>
    <row r="6" spans="1:5" x14ac:dyDescent="0.35">
      <c r="A6" t="s">
        <v>1989</v>
      </c>
      <c r="B6" s="8">
        <v>45323</v>
      </c>
      <c r="C6" t="s">
        <v>37</v>
      </c>
      <c r="D6">
        <v>9441</v>
      </c>
      <c r="E6">
        <v>10309</v>
      </c>
    </row>
    <row r="7" spans="1:5" x14ac:dyDescent="0.35">
      <c r="A7" t="s">
        <v>1989</v>
      </c>
      <c r="B7" s="8">
        <v>45292</v>
      </c>
      <c r="C7" t="s">
        <v>37</v>
      </c>
      <c r="D7">
        <v>8906</v>
      </c>
      <c r="E7">
        <v>9246</v>
      </c>
    </row>
    <row r="8" spans="1:5" x14ac:dyDescent="0.35">
      <c r="A8" t="s">
        <v>1989</v>
      </c>
      <c r="B8" s="8">
        <v>45261</v>
      </c>
      <c r="C8" t="s">
        <v>37</v>
      </c>
      <c r="D8">
        <v>9004</v>
      </c>
      <c r="E8">
        <v>7446</v>
      </c>
    </row>
    <row r="9" spans="1:5" x14ac:dyDescent="0.35">
      <c r="A9" t="s">
        <v>1989</v>
      </c>
      <c r="B9" s="8">
        <v>45231</v>
      </c>
      <c r="C9" t="s">
        <v>37</v>
      </c>
      <c r="D9">
        <v>8390</v>
      </c>
      <c r="E9">
        <v>8163</v>
      </c>
    </row>
    <row r="10" spans="1:5" x14ac:dyDescent="0.35">
      <c r="A10" t="s">
        <v>1989</v>
      </c>
      <c r="B10" s="8">
        <v>45200</v>
      </c>
      <c r="C10" t="s">
        <v>37</v>
      </c>
      <c r="D10">
        <v>8505</v>
      </c>
      <c r="E10">
        <v>8053</v>
      </c>
    </row>
    <row r="11" spans="1:5" x14ac:dyDescent="0.35">
      <c r="A11" t="s">
        <v>1989</v>
      </c>
      <c r="B11" s="8">
        <v>45170</v>
      </c>
      <c r="C11" t="s">
        <v>37</v>
      </c>
      <c r="D11">
        <v>7254</v>
      </c>
      <c r="E11">
        <v>7206</v>
      </c>
    </row>
    <row r="12" spans="1:5" x14ac:dyDescent="0.35">
      <c r="A12" t="s">
        <v>1989</v>
      </c>
      <c r="B12" s="8">
        <v>45139</v>
      </c>
      <c r="C12" t="s">
        <v>37</v>
      </c>
      <c r="D12">
        <v>7315</v>
      </c>
      <c r="E12">
        <v>6429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27B68-F09E-42F4-81F1-AF7199CF29F9}">
  <sheetPr codeName="Planilha12"/>
  <dimension ref="A1:E12"/>
  <sheetViews>
    <sheetView workbookViewId="0"/>
  </sheetViews>
  <sheetFormatPr defaultRowHeight="14.5" x14ac:dyDescent="0.35"/>
  <cols>
    <col min="1" max="1" width="11" bestFit="1" customWidth="1"/>
    <col min="2" max="2" width="10.7265625" bestFit="1" customWidth="1"/>
    <col min="3" max="3" width="18.54296875" bestFit="1" customWidth="1"/>
    <col min="4" max="4" width="33.54296875" bestFit="1" customWidth="1"/>
    <col min="5" max="5" width="37.1796875" bestFit="1" customWidth="1"/>
  </cols>
  <sheetData>
    <row r="1" spans="1:5" x14ac:dyDescent="0.35">
      <c r="A1" t="s">
        <v>7</v>
      </c>
      <c r="B1" t="s">
        <v>34</v>
      </c>
      <c r="C1" t="s">
        <v>8</v>
      </c>
      <c r="D1" t="s">
        <v>35</v>
      </c>
      <c r="E1" t="s">
        <v>1987</v>
      </c>
    </row>
    <row r="2" spans="1:5" x14ac:dyDescent="0.35">
      <c r="A2" t="s">
        <v>1989</v>
      </c>
      <c r="B2" s="8">
        <v>45444</v>
      </c>
      <c r="C2" t="s">
        <v>1992</v>
      </c>
      <c r="D2">
        <v>32147</v>
      </c>
      <c r="E2">
        <v>24703</v>
      </c>
    </row>
    <row r="3" spans="1:5" x14ac:dyDescent="0.35">
      <c r="A3" t="s">
        <v>1989</v>
      </c>
      <c r="B3" s="8">
        <v>45413</v>
      </c>
      <c r="C3" t="s">
        <v>1992</v>
      </c>
      <c r="D3">
        <v>30686</v>
      </c>
      <c r="E3">
        <v>28003</v>
      </c>
    </row>
    <row r="4" spans="1:5" x14ac:dyDescent="0.35">
      <c r="A4" t="s">
        <v>1989</v>
      </c>
      <c r="B4" s="8">
        <v>45383</v>
      </c>
      <c r="C4" t="s">
        <v>1992</v>
      </c>
      <c r="D4">
        <v>31062</v>
      </c>
      <c r="E4">
        <v>24787</v>
      </c>
    </row>
    <row r="5" spans="1:5" x14ac:dyDescent="0.35">
      <c r="A5" t="s">
        <v>1989</v>
      </c>
      <c r="B5" s="8">
        <v>45352</v>
      </c>
      <c r="C5" t="s">
        <v>1992</v>
      </c>
      <c r="D5">
        <v>33566</v>
      </c>
      <c r="E5">
        <v>26137</v>
      </c>
    </row>
    <row r="6" spans="1:5" x14ac:dyDescent="0.35">
      <c r="A6" t="s">
        <v>1989</v>
      </c>
      <c r="B6" s="8">
        <v>45323</v>
      </c>
      <c r="C6" t="s">
        <v>1992</v>
      </c>
      <c r="D6">
        <v>34162</v>
      </c>
      <c r="E6">
        <v>29843</v>
      </c>
    </row>
    <row r="7" spans="1:5" x14ac:dyDescent="0.35">
      <c r="A7" t="s">
        <v>1989</v>
      </c>
      <c r="B7" s="8">
        <v>45292</v>
      </c>
      <c r="C7" t="s">
        <v>1992</v>
      </c>
      <c r="D7">
        <v>35155</v>
      </c>
      <c r="E7">
        <v>28405</v>
      </c>
    </row>
    <row r="8" spans="1:5" x14ac:dyDescent="0.35">
      <c r="A8" t="s">
        <v>1989</v>
      </c>
      <c r="B8" s="8">
        <v>45261</v>
      </c>
      <c r="C8" t="s">
        <v>1992</v>
      </c>
      <c r="D8">
        <v>35265</v>
      </c>
      <c r="E8">
        <v>24567</v>
      </c>
    </row>
    <row r="9" spans="1:5" x14ac:dyDescent="0.35">
      <c r="A9" t="s">
        <v>1989</v>
      </c>
      <c r="B9" s="8">
        <v>45231</v>
      </c>
      <c r="C9" t="s">
        <v>1992</v>
      </c>
      <c r="D9">
        <v>31528</v>
      </c>
      <c r="E9">
        <v>26914</v>
      </c>
    </row>
    <row r="10" spans="1:5" x14ac:dyDescent="0.35">
      <c r="A10" t="s">
        <v>1989</v>
      </c>
      <c r="B10" s="8">
        <v>45200</v>
      </c>
      <c r="C10" t="s">
        <v>1992</v>
      </c>
      <c r="D10">
        <v>31358</v>
      </c>
      <c r="E10">
        <v>23890</v>
      </c>
    </row>
    <row r="11" spans="1:5" x14ac:dyDescent="0.35">
      <c r="A11" t="s">
        <v>1989</v>
      </c>
      <c r="B11" s="8">
        <v>45170</v>
      </c>
      <c r="C11" t="s">
        <v>1992</v>
      </c>
      <c r="D11">
        <v>33415</v>
      </c>
      <c r="E11">
        <v>23883</v>
      </c>
    </row>
    <row r="12" spans="1:5" x14ac:dyDescent="0.35">
      <c r="A12" t="s">
        <v>1989</v>
      </c>
      <c r="B12" s="8">
        <v>45139</v>
      </c>
      <c r="C12" t="s">
        <v>1992</v>
      </c>
      <c r="D12">
        <v>32597</v>
      </c>
      <c r="E12">
        <v>22839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A0377-71FA-45A6-BCFC-6480D17A59BC}">
  <sheetPr codeName="Planilha13"/>
  <dimension ref="A1:E12"/>
  <sheetViews>
    <sheetView workbookViewId="0"/>
  </sheetViews>
  <sheetFormatPr defaultRowHeight="14.5" x14ac:dyDescent="0.35"/>
  <cols>
    <col min="1" max="1" width="11" bestFit="1" customWidth="1"/>
    <col min="2" max="2" width="10.7265625" bestFit="1" customWidth="1"/>
    <col min="3" max="3" width="20.54296875" bestFit="1" customWidth="1"/>
    <col min="4" max="4" width="33.54296875" bestFit="1" customWidth="1"/>
    <col min="5" max="5" width="37.1796875" bestFit="1" customWidth="1"/>
  </cols>
  <sheetData>
    <row r="1" spans="1:5" x14ac:dyDescent="0.35">
      <c r="A1" t="s">
        <v>7</v>
      </c>
      <c r="B1" t="s">
        <v>34</v>
      </c>
      <c r="C1" t="s">
        <v>8</v>
      </c>
      <c r="D1" t="s">
        <v>35</v>
      </c>
      <c r="E1" t="s">
        <v>1987</v>
      </c>
    </row>
    <row r="2" spans="1:5" x14ac:dyDescent="0.35">
      <c r="A2" t="s">
        <v>1989</v>
      </c>
      <c r="B2" s="8">
        <v>45444</v>
      </c>
      <c r="C2" t="s">
        <v>57</v>
      </c>
      <c r="D2">
        <v>70818</v>
      </c>
      <c r="E2">
        <v>47460</v>
      </c>
    </row>
    <row r="3" spans="1:5" x14ac:dyDescent="0.35">
      <c r="A3" t="s">
        <v>1989</v>
      </c>
      <c r="B3" s="8">
        <v>45413</v>
      </c>
      <c r="C3" t="s">
        <v>57</v>
      </c>
      <c r="D3">
        <v>66489</v>
      </c>
      <c r="E3">
        <v>53578</v>
      </c>
    </row>
    <row r="4" spans="1:5" x14ac:dyDescent="0.35">
      <c r="A4" t="s">
        <v>1989</v>
      </c>
      <c r="B4" s="8">
        <v>45383</v>
      </c>
      <c r="C4" t="s">
        <v>57</v>
      </c>
      <c r="D4">
        <v>69110</v>
      </c>
      <c r="E4">
        <v>49023</v>
      </c>
    </row>
    <row r="5" spans="1:5" x14ac:dyDescent="0.35">
      <c r="A5" t="s">
        <v>1989</v>
      </c>
      <c r="B5" s="8">
        <v>45352</v>
      </c>
      <c r="C5" t="s">
        <v>57</v>
      </c>
      <c r="D5">
        <v>77351</v>
      </c>
      <c r="E5">
        <v>53010</v>
      </c>
    </row>
    <row r="6" spans="1:5" x14ac:dyDescent="0.35">
      <c r="A6" t="s">
        <v>1989</v>
      </c>
      <c r="B6" s="8">
        <v>45323</v>
      </c>
      <c r="C6" t="s">
        <v>57</v>
      </c>
      <c r="D6">
        <v>65515</v>
      </c>
      <c r="E6">
        <v>58842</v>
      </c>
    </row>
    <row r="7" spans="1:5" x14ac:dyDescent="0.35">
      <c r="A7" t="s">
        <v>1989</v>
      </c>
      <c r="B7" s="8">
        <v>45292</v>
      </c>
      <c r="C7" t="s">
        <v>57</v>
      </c>
      <c r="D7">
        <v>70551</v>
      </c>
      <c r="E7">
        <v>60790</v>
      </c>
    </row>
    <row r="8" spans="1:5" x14ac:dyDescent="0.35">
      <c r="A8" t="s">
        <v>1989</v>
      </c>
      <c r="B8" s="8">
        <v>45261</v>
      </c>
      <c r="C8" t="s">
        <v>57</v>
      </c>
      <c r="D8">
        <v>62721</v>
      </c>
      <c r="E8">
        <v>50033</v>
      </c>
    </row>
    <row r="9" spans="1:5" x14ac:dyDescent="0.35">
      <c r="A9" t="s">
        <v>1989</v>
      </c>
      <c r="B9" s="8">
        <v>45231</v>
      </c>
      <c r="C9" t="s">
        <v>57</v>
      </c>
      <c r="D9">
        <v>66256</v>
      </c>
      <c r="E9">
        <v>53228</v>
      </c>
    </row>
    <row r="10" spans="1:5" x14ac:dyDescent="0.35">
      <c r="A10" t="s">
        <v>1989</v>
      </c>
      <c r="B10" s="8">
        <v>45200</v>
      </c>
      <c r="C10" t="s">
        <v>57</v>
      </c>
      <c r="D10">
        <v>58832</v>
      </c>
      <c r="E10">
        <v>46716</v>
      </c>
    </row>
    <row r="11" spans="1:5" x14ac:dyDescent="0.35">
      <c r="A11" t="s">
        <v>1989</v>
      </c>
      <c r="B11" s="8">
        <v>45170</v>
      </c>
      <c r="C11" t="s">
        <v>57</v>
      </c>
      <c r="D11">
        <v>58672</v>
      </c>
      <c r="E11">
        <v>47655</v>
      </c>
    </row>
    <row r="12" spans="1:5" x14ac:dyDescent="0.35">
      <c r="A12" t="s">
        <v>1989</v>
      </c>
      <c r="B12" s="8">
        <v>45139</v>
      </c>
      <c r="C12" t="s">
        <v>57</v>
      </c>
      <c r="D12">
        <v>58724</v>
      </c>
      <c r="E12">
        <v>46611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76B0A-D46F-4703-9B88-6324B777946F}">
  <sheetPr codeName="Planilha14"/>
  <dimension ref="A1:E12"/>
  <sheetViews>
    <sheetView workbookViewId="0"/>
  </sheetViews>
  <sheetFormatPr defaultRowHeight="14.5" x14ac:dyDescent="0.35"/>
  <cols>
    <col min="1" max="1" width="11" bestFit="1" customWidth="1"/>
    <col min="2" max="2" width="10.7265625" bestFit="1" customWidth="1"/>
    <col min="3" max="3" width="9.453125" bestFit="1" customWidth="1"/>
    <col min="4" max="4" width="33.54296875" bestFit="1" customWidth="1"/>
    <col min="5" max="5" width="37.1796875" bestFit="1" customWidth="1"/>
  </cols>
  <sheetData>
    <row r="1" spans="1:5" x14ac:dyDescent="0.35">
      <c r="A1" t="s">
        <v>7</v>
      </c>
      <c r="B1" t="s">
        <v>34</v>
      </c>
      <c r="C1" t="s">
        <v>8</v>
      </c>
      <c r="D1" t="s">
        <v>35</v>
      </c>
      <c r="E1" t="s">
        <v>1987</v>
      </c>
    </row>
    <row r="2" spans="1:5" x14ac:dyDescent="0.35">
      <c r="A2" t="s">
        <v>1989</v>
      </c>
      <c r="B2" s="8">
        <v>45444</v>
      </c>
      <c r="C2" t="s">
        <v>55</v>
      </c>
      <c r="D2">
        <v>383170</v>
      </c>
      <c r="E2">
        <v>182550</v>
      </c>
    </row>
    <row r="3" spans="1:5" x14ac:dyDescent="0.35">
      <c r="A3" t="s">
        <v>1989</v>
      </c>
      <c r="B3" s="8">
        <v>45413</v>
      </c>
      <c r="C3" t="s">
        <v>55</v>
      </c>
      <c r="D3">
        <v>395617</v>
      </c>
      <c r="E3">
        <v>197836</v>
      </c>
    </row>
    <row r="4" spans="1:5" x14ac:dyDescent="0.35">
      <c r="A4" t="s">
        <v>1989</v>
      </c>
      <c r="B4" s="8">
        <v>45383</v>
      </c>
      <c r="C4" t="s">
        <v>55</v>
      </c>
      <c r="D4">
        <v>379693</v>
      </c>
      <c r="E4">
        <v>185531</v>
      </c>
    </row>
    <row r="5" spans="1:5" x14ac:dyDescent="0.35">
      <c r="A5" t="s">
        <v>1989</v>
      </c>
      <c r="B5" s="8">
        <v>45352</v>
      </c>
      <c r="C5" t="s">
        <v>55</v>
      </c>
      <c r="D5">
        <v>397701</v>
      </c>
      <c r="E5">
        <v>191317</v>
      </c>
    </row>
    <row r="6" spans="1:5" x14ac:dyDescent="0.35">
      <c r="A6" t="s">
        <v>1989</v>
      </c>
      <c r="B6" s="8">
        <v>45323</v>
      </c>
      <c r="C6" t="s">
        <v>55</v>
      </c>
      <c r="D6">
        <v>401631</v>
      </c>
      <c r="E6">
        <v>207308</v>
      </c>
    </row>
    <row r="7" spans="1:5" x14ac:dyDescent="0.35">
      <c r="A7" t="s">
        <v>1989</v>
      </c>
      <c r="B7" s="8">
        <v>45292</v>
      </c>
      <c r="C7" t="s">
        <v>55</v>
      </c>
      <c r="D7">
        <v>435260</v>
      </c>
      <c r="E7">
        <v>199819</v>
      </c>
    </row>
    <row r="8" spans="1:5" x14ac:dyDescent="0.35">
      <c r="A8" t="s">
        <v>1989</v>
      </c>
      <c r="B8" s="8">
        <v>45261</v>
      </c>
      <c r="C8" t="s">
        <v>55</v>
      </c>
      <c r="D8">
        <v>443044</v>
      </c>
      <c r="E8">
        <v>191457</v>
      </c>
    </row>
    <row r="9" spans="1:5" x14ac:dyDescent="0.35">
      <c r="A9" t="s">
        <v>1989</v>
      </c>
      <c r="B9" s="8">
        <v>45231</v>
      </c>
      <c r="C9" t="s">
        <v>55</v>
      </c>
      <c r="D9">
        <v>407679</v>
      </c>
      <c r="E9">
        <v>197190</v>
      </c>
    </row>
    <row r="10" spans="1:5" x14ac:dyDescent="0.35">
      <c r="A10" t="s">
        <v>1989</v>
      </c>
      <c r="B10" s="8">
        <v>45200</v>
      </c>
      <c r="C10" t="s">
        <v>55</v>
      </c>
      <c r="D10">
        <v>416200</v>
      </c>
      <c r="E10">
        <v>179205</v>
      </c>
    </row>
    <row r="11" spans="1:5" x14ac:dyDescent="0.35">
      <c r="A11" t="s">
        <v>1989</v>
      </c>
      <c r="B11" s="8">
        <v>45170</v>
      </c>
      <c r="C11" t="s">
        <v>55</v>
      </c>
      <c r="D11">
        <v>387614</v>
      </c>
      <c r="E11">
        <v>187870</v>
      </c>
    </row>
    <row r="12" spans="1:5" x14ac:dyDescent="0.35">
      <c r="A12" t="s">
        <v>1989</v>
      </c>
      <c r="B12" s="8">
        <v>45139</v>
      </c>
      <c r="C12" t="s">
        <v>55</v>
      </c>
      <c r="D12">
        <v>369773</v>
      </c>
      <c r="E12">
        <v>175312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0E9B9-D543-47F8-80BE-B07F1AFA091D}">
  <sheetPr codeName="Planilha15"/>
  <dimension ref="A1:E12"/>
  <sheetViews>
    <sheetView workbookViewId="0"/>
  </sheetViews>
  <sheetFormatPr defaultRowHeight="14.5" x14ac:dyDescent="0.35"/>
  <cols>
    <col min="1" max="1" width="11" bestFit="1" customWidth="1"/>
    <col min="2" max="2" width="10.7265625" bestFit="1" customWidth="1"/>
    <col min="3" max="3" width="19.1796875" bestFit="1" customWidth="1"/>
    <col min="4" max="4" width="33.54296875" bestFit="1" customWidth="1"/>
    <col min="5" max="5" width="37.1796875" bestFit="1" customWidth="1"/>
  </cols>
  <sheetData>
    <row r="1" spans="1:5" x14ac:dyDescent="0.35">
      <c r="A1" t="s">
        <v>7</v>
      </c>
      <c r="B1" t="s">
        <v>34</v>
      </c>
      <c r="C1" t="s">
        <v>8</v>
      </c>
      <c r="D1" t="s">
        <v>35</v>
      </c>
      <c r="E1" t="s">
        <v>1987</v>
      </c>
    </row>
    <row r="2" spans="1:5" x14ac:dyDescent="0.35">
      <c r="A2" t="s">
        <v>1989</v>
      </c>
      <c r="B2" s="8">
        <v>45444</v>
      </c>
      <c r="C2" t="s">
        <v>1991</v>
      </c>
      <c r="D2">
        <v>27348</v>
      </c>
      <c r="E2">
        <v>14402</v>
      </c>
    </row>
    <row r="3" spans="1:5" x14ac:dyDescent="0.35">
      <c r="A3" t="s">
        <v>1989</v>
      </c>
      <c r="B3" s="8">
        <v>45413</v>
      </c>
      <c r="C3" t="s">
        <v>1991</v>
      </c>
      <c r="D3">
        <v>26270</v>
      </c>
      <c r="E3">
        <v>14669</v>
      </c>
    </row>
    <row r="4" spans="1:5" x14ac:dyDescent="0.35">
      <c r="A4" t="s">
        <v>1989</v>
      </c>
      <c r="B4" s="8">
        <v>45383</v>
      </c>
      <c r="C4" t="s">
        <v>1991</v>
      </c>
      <c r="D4">
        <v>23291</v>
      </c>
      <c r="E4">
        <v>13559</v>
      </c>
    </row>
    <row r="5" spans="1:5" x14ac:dyDescent="0.35">
      <c r="A5" t="s">
        <v>1989</v>
      </c>
      <c r="B5" s="8">
        <v>45352</v>
      </c>
      <c r="C5" t="s">
        <v>1991</v>
      </c>
      <c r="D5">
        <v>24893</v>
      </c>
      <c r="E5">
        <v>14429</v>
      </c>
    </row>
    <row r="6" spans="1:5" x14ac:dyDescent="0.35">
      <c r="A6" t="s">
        <v>1989</v>
      </c>
      <c r="B6" s="8">
        <v>45323</v>
      </c>
      <c r="C6" t="s">
        <v>1991</v>
      </c>
      <c r="D6">
        <v>23146</v>
      </c>
      <c r="E6">
        <v>15085</v>
      </c>
    </row>
    <row r="7" spans="1:5" x14ac:dyDescent="0.35">
      <c r="A7" t="s">
        <v>1989</v>
      </c>
      <c r="B7" s="8">
        <v>45292</v>
      </c>
      <c r="C7" t="s">
        <v>1991</v>
      </c>
      <c r="D7">
        <v>22012</v>
      </c>
      <c r="E7">
        <v>15997</v>
      </c>
    </row>
    <row r="8" spans="1:5" x14ac:dyDescent="0.35">
      <c r="A8" t="s">
        <v>1989</v>
      </c>
      <c r="B8" s="8">
        <v>45261</v>
      </c>
      <c r="C8" t="s">
        <v>1991</v>
      </c>
      <c r="D8">
        <v>23398</v>
      </c>
      <c r="E8">
        <v>13389</v>
      </c>
    </row>
    <row r="9" spans="1:5" x14ac:dyDescent="0.35">
      <c r="A9" t="s">
        <v>1989</v>
      </c>
      <c r="B9" s="8">
        <v>45231</v>
      </c>
      <c r="C9" t="s">
        <v>1991</v>
      </c>
      <c r="D9">
        <v>21733</v>
      </c>
      <c r="E9">
        <v>14867</v>
      </c>
    </row>
    <row r="10" spans="1:5" x14ac:dyDescent="0.35">
      <c r="A10" t="s">
        <v>1989</v>
      </c>
      <c r="B10" s="8">
        <v>45200</v>
      </c>
      <c r="C10" t="s">
        <v>1991</v>
      </c>
      <c r="D10">
        <v>21865</v>
      </c>
      <c r="E10">
        <v>12760</v>
      </c>
    </row>
    <row r="11" spans="1:5" x14ac:dyDescent="0.35">
      <c r="A11" t="s">
        <v>1989</v>
      </c>
      <c r="B11" s="8">
        <v>45170</v>
      </c>
      <c r="C11" t="s">
        <v>1991</v>
      </c>
      <c r="D11">
        <v>19206</v>
      </c>
      <c r="E11">
        <v>13014</v>
      </c>
    </row>
    <row r="12" spans="1:5" x14ac:dyDescent="0.35">
      <c r="A12" t="s">
        <v>1989</v>
      </c>
      <c r="B12" s="8">
        <v>45139</v>
      </c>
      <c r="C12" t="s">
        <v>1991</v>
      </c>
      <c r="D12">
        <v>20044</v>
      </c>
      <c r="E12">
        <v>12083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FA035-5F02-4D89-BAD8-F81EF88D3FE2}">
  <sheetPr codeName="Planilha16"/>
  <dimension ref="A1:E12"/>
  <sheetViews>
    <sheetView workbookViewId="0"/>
  </sheetViews>
  <sheetFormatPr defaultRowHeight="14.5" x14ac:dyDescent="0.35"/>
  <cols>
    <col min="1" max="1" width="11" bestFit="1" customWidth="1"/>
    <col min="2" max="2" width="10.7265625" bestFit="1" customWidth="1"/>
    <col min="3" max="3" width="13.453125" bestFit="1" customWidth="1"/>
    <col min="4" max="4" width="33.54296875" bestFit="1" customWidth="1"/>
    <col min="5" max="5" width="37.1796875" bestFit="1" customWidth="1"/>
  </cols>
  <sheetData>
    <row r="1" spans="1:5" x14ac:dyDescent="0.35">
      <c r="A1" t="s">
        <v>7</v>
      </c>
      <c r="B1" t="s">
        <v>34</v>
      </c>
      <c r="C1" t="s">
        <v>8</v>
      </c>
      <c r="D1" t="s">
        <v>35</v>
      </c>
      <c r="E1" t="s">
        <v>1987</v>
      </c>
    </row>
    <row r="2" spans="1:5" x14ac:dyDescent="0.35">
      <c r="A2" t="s">
        <v>1989</v>
      </c>
      <c r="B2" s="8">
        <v>45444</v>
      </c>
      <c r="C2" t="s">
        <v>52</v>
      </c>
      <c r="D2">
        <v>182814</v>
      </c>
      <c r="E2">
        <v>104829</v>
      </c>
    </row>
    <row r="3" spans="1:5" x14ac:dyDescent="0.35">
      <c r="A3" t="s">
        <v>1989</v>
      </c>
      <c r="B3" s="8">
        <v>45413</v>
      </c>
      <c r="C3" t="s">
        <v>52</v>
      </c>
      <c r="D3">
        <v>176827</v>
      </c>
      <c r="E3">
        <v>124950</v>
      </c>
    </row>
    <row r="4" spans="1:5" x14ac:dyDescent="0.35">
      <c r="A4" t="s">
        <v>1989</v>
      </c>
      <c r="B4" s="8">
        <v>45383</v>
      </c>
      <c r="C4" t="s">
        <v>52</v>
      </c>
      <c r="D4">
        <v>170086</v>
      </c>
      <c r="E4">
        <v>106239</v>
      </c>
    </row>
    <row r="5" spans="1:5" x14ac:dyDescent="0.35">
      <c r="A5" t="s">
        <v>1989</v>
      </c>
      <c r="B5" s="8">
        <v>45352</v>
      </c>
      <c r="C5" t="s">
        <v>52</v>
      </c>
      <c r="D5">
        <v>179526</v>
      </c>
      <c r="E5">
        <v>121862</v>
      </c>
    </row>
    <row r="6" spans="1:5" x14ac:dyDescent="0.35">
      <c r="A6" t="s">
        <v>1989</v>
      </c>
      <c r="B6" s="8">
        <v>45323</v>
      </c>
      <c r="C6" t="s">
        <v>52</v>
      </c>
      <c r="D6">
        <v>178031</v>
      </c>
      <c r="E6">
        <v>136470</v>
      </c>
    </row>
    <row r="7" spans="1:5" x14ac:dyDescent="0.35">
      <c r="A7" t="s">
        <v>1989</v>
      </c>
      <c r="B7" s="8">
        <v>45292</v>
      </c>
      <c r="C7" t="s">
        <v>52</v>
      </c>
      <c r="D7">
        <v>179433</v>
      </c>
      <c r="E7">
        <v>134517</v>
      </c>
    </row>
    <row r="8" spans="1:5" x14ac:dyDescent="0.35">
      <c r="A8" t="s">
        <v>1989</v>
      </c>
      <c r="B8" s="8">
        <v>45261</v>
      </c>
      <c r="C8" t="s">
        <v>52</v>
      </c>
      <c r="D8">
        <v>185704</v>
      </c>
      <c r="E8">
        <v>118317</v>
      </c>
    </row>
    <row r="9" spans="1:5" x14ac:dyDescent="0.35">
      <c r="A9" t="s">
        <v>1989</v>
      </c>
      <c r="B9" s="8">
        <v>45231</v>
      </c>
      <c r="C9" t="s">
        <v>52</v>
      </c>
      <c r="D9">
        <v>164152</v>
      </c>
      <c r="E9">
        <v>121742</v>
      </c>
    </row>
    <row r="10" spans="1:5" x14ac:dyDescent="0.35">
      <c r="A10" t="s">
        <v>1989</v>
      </c>
      <c r="B10" s="8">
        <v>45200</v>
      </c>
      <c r="C10" t="s">
        <v>52</v>
      </c>
      <c r="D10">
        <v>163453</v>
      </c>
      <c r="E10">
        <v>106688</v>
      </c>
    </row>
    <row r="11" spans="1:5" x14ac:dyDescent="0.35">
      <c r="A11" t="s">
        <v>1989</v>
      </c>
      <c r="B11" s="8">
        <v>45170</v>
      </c>
      <c r="C11" t="s">
        <v>52</v>
      </c>
      <c r="D11">
        <v>161328</v>
      </c>
      <c r="E11">
        <v>110521</v>
      </c>
    </row>
    <row r="12" spans="1:5" x14ac:dyDescent="0.35">
      <c r="A12" t="s">
        <v>1989</v>
      </c>
      <c r="B12" s="8">
        <v>45139</v>
      </c>
      <c r="C12" t="s">
        <v>52</v>
      </c>
      <c r="D12">
        <v>165165</v>
      </c>
      <c r="E12">
        <v>108740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3772B-20BA-44DC-A255-6993B14F5017}">
  <sheetPr codeName="Planilha17"/>
  <dimension ref="A1:E12"/>
  <sheetViews>
    <sheetView workbookViewId="0"/>
  </sheetViews>
  <sheetFormatPr defaultRowHeight="14.5" x14ac:dyDescent="0.35"/>
  <cols>
    <col min="1" max="1" width="11" bestFit="1" customWidth="1"/>
    <col min="2" max="2" width="10.7265625" bestFit="1" customWidth="1"/>
    <col min="3" max="3" width="12.26953125" bestFit="1" customWidth="1"/>
    <col min="4" max="4" width="33.54296875" bestFit="1" customWidth="1"/>
    <col min="5" max="5" width="37.1796875" bestFit="1" customWidth="1"/>
  </cols>
  <sheetData>
    <row r="1" spans="1:5" x14ac:dyDescent="0.35">
      <c r="A1" t="s">
        <v>7</v>
      </c>
      <c r="B1" t="s">
        <v>34</v>
      </c>
      <c r="C1" t="s">
        <v>8</v>
      </c>
      <c r="D1" t="s">
        <v>35</v>
      </c>
      <c r="E1" t="s">
        <v>1987</v>
      </c>
    </row>
    <row r="2" spans="1:5" x14ac:dyDescent="0.35">
      <c r="A2" t="s">
        <v>1989</v>
      </c>
      <c r="B2" s="8">
        <v>45444</v>
      </c>
      <c r="C2" t="s">
        <v>1990</v>
      </c>
      <c r="D2">
        <v>33104</v>
      </c>
      <c r="E2">
        <v>21407</v>
      </c>
    </row>
    <row r="3" spans="1:5" x14ac:dyDescent="0.35">
      <c r="A3" t="s">
        <v>1989</v>
      </c>
      <c r="B3" s="8">
        <v>45413</v>
      </c>
      <c r="C3" t="s">
        <v>1990</v>
      </c>
      <c r="D3">
        <v>34941</v>
      </c>
      <c r="E3">
        <v>26825</v>
      </c>
    </row>
    <row r="4" spans="1:5" x14ac:dyDescent="0.35">
      <c r="A4" t="s">
        <v>1989</v>
      </c>
      <c r="B4" s="8">
        <v>45383</v>
      </c>
      <c r="C4" t="s">
        <v>1990</v>
      </c>
      <c r="D4">
        <v>31329</v>
      </c>
      <c r="E4">
        <v>23810</v>
      </c>
    </row>
    <row r="5" spans="1:5" x14ac:dyDescent="0.35">
      <c r="A5" t="s">
        <v>1989</v>
      </c>
      <c r="B5" s="8">
        <v>45352</v>
      </c>
      <c r="C5" t="s">
        <v>1990</v>
      </c>
      <c r="D5">
        <v>34799</v>
      </c>
      <c r="E5">
        <v>25484</v>
      </c>
    </row>
    <row r="6" spans="1:5" x14ac:dyDescent="0.35">
      <c r="A6" t="s">
        <v>1989</v>
      </c>
      <c r="B6" s="8">
        <v>45323</v>
      </c>
      <c r="C6" t="s">
        <v>1990</v>
      </c>
      <c r="D6">
        <v>36174</v>
      </c>
      <c r="E6">
        <v>28343</v>
      </c>
    </row>
    <row r="7" spans="1:5" x14ac:dyDescent="0.35">
      <c r="A7" t="s">
        <v>1989</v>
      </c>
      <c r="B7" s="8">
        <v>45292</v>
      </c>
      <c r="C7" t="s">
        <v>1990</v>
      </c>
      <c r="D7">
        <v>34763</v>
      </c>
      <c r="E7">
        <v>29043</v>
      </c>
    </row>
    <row r="8" spans="1:5" x14ac:dyDescent="0.35">
      <c r="A8" t="s">
        <v>1989</v>
      </c>
      <c r="B8" s="8">
        <v>45261</v>
      </c>
      <c r="C8" t="s">
        <v>1990</v>
      </c>
      <c r="D8">
        <v>36674</v>
      </c>
      <c r="E8">
        <v>23773</v>
      </c>
    </row>
    <row r="9" spans="1:5" x14ac:dyDescent="0.35">
      <c r="A9" t="s">
        <v>1989</v>
      </c>
      <c r="B9" s="8">
        <v>45231</v>
      </c>
      <c r="C9" t="s">
        <v>1990</v>
      </c>
      <c r="D9">
        <v>33299</v>
      </c>
      <c r="E9">
        <v>23812</v>
      </c>
    </row>
    <row r="10" spans="1:5" x14ac:dyDescent="0.35">
      <c r="A10" t="s">
        <v>1989</v>
      </c>
      <c r="B10" s="8">
        <v>45200</v>
      </c>
      <c r="C10" t="s">
        <v>1990</v>
      </c>
      <c r="D10">
        <v>33772</v>
      </c>
      <c r="E10">
        <v>21926</v>
      </c>
    </row>
    <row r="11" spans="1:5" x14ac:dyDescent="0.35">
      <c r="A11" t="s">
        <v>1989</v>
      </c>
      <c r="B11" s="8">
        <v>45170</v>
      </c>
      <c r="C11" t="s">
        <v>1990</v>
      </c>
      <c r="D11">
        <v>30722</v>
      </c>
      <c r="E11">
        <v>21632</v>
      </c>
    </row>
    <row r="12" spans="1:5" x14ac:dyDescent="0.35">
      <c r="A12" t="s">
        <v>1989</v>
      </c>
      <c r="B12" s="8">
        <v>45139</v>
      </c>
      <c r="C12" t="s">
        <v>1990</v>
      </c>
      <c r="D12">
        <v>31156</v>
      </c>
      <c r="E12">
        <v>20711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20218-440A-4AE8-96CD-3EC79328C3C4}">
  <sheetPr codeName="Planilha18"/>
  <dimension ref="A1:E12"/>
  <sheetViews>
    <sheetView workbookViewId="0"/>
  </sheetViews>
  <sheetFormatPr defaultRowHeight="14.5" x14ac:dyDescent="0.35"/>
  <cols>
    <col min="1" max="1" width="11" bestFit="1" customWidth="1"/>
    <col min="2" max="2" width="10.7265625" bestFit="1" customWidth="1"/>
    <col min="3" max="3" width="9.453125" bestFit="1" customWidth="1"/>
    <col min="4" max="4" width="33.54296875" bestFit="1" customWidth="1"/>
    <col min="5" max="5" width="37.1796875" bestFit="1" customWidth="1"/>
  </cols>
  <sheetData>
    <row r="1" spans="1:5" x14ac:dyDescent="0.35">
      <c r="A1" t="s">
        <v>7</v>
      </c>
      <c r="B1" t="s">
        <v>34</v>
      </c>
      <c r="C1" t="s">
        <v>8</v>
      </c>
      <c r="D1" t="s">
        <v>35</v>
      </c>
      <c r="E1" t="s">
        <v>1987</v>
      </c>
    </row>
    <row r="2" spans="1:5" x14ac:dyDescent="0.35">
      <c r="A2" t="s">
        <v>1989</v>
      </c>
      <c r="B2" s="8">
        <v>45444</v>
      </c>
      <c r="C2" t="s">
        <v>46</v>
      </c>
      <c r="D2">
        <v>28428</v>
      </c>
      <c r="E2">
        <v>24894</v>
      </c>
    </row>
    <row r="3" spans="1:5" x14ac:dyDescent="0.35">
      <c r="A3" t="s">
        <v>1989</v>
      </c>
      <c r="B3" s="8">
        <v>45413</v>
      </c>
      <c r="C3" t="s">
        <v>46</v>
      </c>
      <c r="D3">
        <v>34190</v>
      </c>
      <c r="E3">
        <v>28448</v>
      </c>
    </row>
    <row r="4" spans="1:5" x14ac:dyDescent="0.35">
      <c r="A4" t="s">
        <v>1989</v>
      </c>
      <c r="B4" s="8">
        <v>45383</v>
      </c>
      <c r="C4" t="s">
        <v>46</v>
      </c>
      <c r="D4">
        <v>34535</v>
      </c>
      <c r="E4">
        <v>25531</v>
      </c>
    </row>
    <row r="5" spans="1:5" x14ac:dyDescent="0.35">
      <c r="A5" t="s">
        <v>1989</v>
      </c>
      <c r="B5" s="8">
        <v>45352</v>
      </c>
      <c r="C5" t="s">
        <v>46</v>
      </c>
      <c r="D5">
        <v>34172</v>
      </c>
      <c r="E5">
        <v>26947</v>
      </c>
    </row>
    <row r="6" spans="1:5" x14ac:dyDescent="0.35">
      <c r="A6" t="s">
        <v>1989</v>
      </c>
      <c r="B6" s="8">
        <v>45323</v>
      </c>
      <c r="C6" t="s">
        <v>46</v>
      </c>
      <c r="D6">
        <v>35202</v>
      </c>
      <c r="E6">
        <v>32050</v>
      </c>
    </row>
    <row r="7" spans="1:5" x14ac:dyDescent="0.35">
      <c r="A7" t="s">
        <v>1989</v>
      </c>
      <c r="B7" s="8">
        <v>45292</v>
      </c>
      <c r="C7" t="s">
        <v>46</v>
      </c>
      <c r="D7">
        <v>37140</v>
      </c>
      <c r="E7">
        <v>31841</v>
      </c>
    </row>
    <row r="8" spans="1:5" x14ac:dyDescent="0.35">
      <c r="A8" t="s">
        <v>1989</v>
      </c>
      <c r="B8" s="8">
        <v>45261</v>
      </c>
      <c r="C8" t="s">
        <v>46</v>
      </c>
      <c r="D8">
        <v>41647</v>
      </c>
      <c r="E8">
        <v>26508</v>
      </c>
    </row>
    <row r="9" spans="1:5" x14ac:dyDescent="0.35">
      <c r="A9" t="s">
        <v>1989</v>
      </c>
      <c r="B9" s="8">
        <v>45231</v>
      </c>
      <c r="C9" t="s">
        <v>46</v>
      </c>
      <c r="D9">
        <v>37820</v>
      </c>
      <c r="E9">
        <v>28200</v>
      </c>
    </row>
    <row r="10" spans="1:5" x14ac:dyDescent="0.35">
      <c r="A10" t="s">
        <v>1989</v>
      </c>
      <c r="B10" s="8">
        <v>45200</v>
      </c>
      <c r="C10" t="s">
        <v>46</v>
      </c>
      <c r="D10">
        <v>39154</v>
      </c>
      <c r="E10">
        <v>24809</v>
      </c>
    </row>
    <row r="11" spans="1:5" x14ac:dyDescent="0.35">
      <c r="A11" t="s">
        <v>1989</v>
      </c>
      <c r="B11" s="8">
        <v>45170</v>
      </c>
      <c r="C11" t="s">
        <v>46</v>
      </c>
      <c r="D11">
        <v>36195</v>
      </c>
      <c r="E11">
        <v>25192</v>
      </c>
    </row>
    <row r="12" spans="1:5" x14ac:dyDescent="0.35">
      <c r="A12" t="s">
        <v>1989</v>
      </c>
      <c r="B12" s="8">
        <v>45139</v>
      </c>
      <c r="C12" t="s">
        <v>46</v>
      </c>
      <c r="D12">
        <v>34167</v>
      </c>
      <c r="E12">
        <v>24953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38C27-06D1-4366-B2BC-DD0C9BDAF852}">
  <sheetPr codeName="Planilha19"/>
  <dimension ref="A1:E12"/>
  <sheetViews>
    <sheetView workbookViewId="0"/>
  </sheetViews>
  <sheetFormatPr defaultRowHeight="14.5" x14ac:dyDescent="0.35"/>
  <cols>
    <col min="1" max="1" width="11" bestFit="1" customWidth="1"/>
    <col min="2" max="2" width="10.7265625" bestFit="1" customWidth="1"/>
    <col min="3" max="3" width="18.1796875" bestFit="1" customWidth="1"/>
    <col min="4" max="4" width="33.54296875" bestFit="1" customWidth="1"/>
    <col min="5" max="5" width="37.1796875" bestFit="1" customWidth="1"/>
  </cols>
  <sheetData>
    <row r="1" spans="1:5" x14ac:dyDescent="0.35">
      <c r="A1" t="s">
        <v>7</v>
      </c>
      <c r="B1" t="s">
        <v>34</v>
      </c>
      <c r="C1" t="s">
        <v>8</v>
      </c>
      <c r="D1" t="s">
        <v>35</v>
      </c>
      <c r="E1" t="s">
        <v>1987</v>
      </c>
    </row>
    <row r="2" spans="1:5" x14ac:dyDescent="0.35">
      <c r="A2" t="s">
        <v>1989</v>
      </c>
      <c r="B2" s="8">
        <v>45444</v>
      </c>
      <c r="C2" t="s">
        <v>44</v>
      </c>
      <c r="D2">
        <v>105963</v>
      </c>
      <c r="E2">
        <v>59456</v>
      </c>
    </row>
    <row r="3" spans="1:5" x14ac:dyDescent="0.35">
      <c r="A3" t="s">
        <v>1989</v>
      </c>
      <c r="B3" s="8">
        <v>45413</v>
      </c>
      <c r="C3" t="s">
        <v>44</v>
      </c>
      <c r="D3">
        <v>94872</v>
      </c>
      <c r="E3">
        <v>72105</v>
      </c>
    </row>
    <row r="4" spans="1:5" x14ac:dyDescent="0.35">
      <c r="A4" t="s">
        <v>1989</v>
      </c>
      <c r="B4" s="8">
        <v>45383</v>
      </c>
      <c r="C4" t="s">
        <v>44</v>
      </c>
      <c r="D4">
        <v>92409</v>
      </c>
      <c r="E4">
        <v>66899</v>
      </c>
    </row>
    <row r="5" spans="1:5" x14ac:dyDescent="0.35">
      <c r="A5" t="s">
        <v>1989</v>
      </c>
      <c r="B5" s="8">
        <v>45352</v>
      </c>
      <c r="C5" t="s">
        <v>44</v>
      </c>
      <c r="D5">
        <v>98925</v>
      </c>
      <c r="E5">
        <v>71454</v>
      </c>
    </row>
    <row r="6" spans="1:5" x14ac:dyDescent="0.35">
      <c r="A6" t="s">
        <v>1989</v>
      </c>
      <c r="B6" s="8">
        <v>45323</v>
      </c>
      <c r="C6" t="s">
        <v>44</v>
      </c>
      <c r="D6">
        <v>97730</v>
      </c>
      <c r="E6">
        <v>76616</v>
      </c>
    </row>
    <row r="7" spans="1:5" x14ac:dyDescent="0.35">
      <c r="A7" t="s">
        <v>1989</v>
      </c>
      <c r="B7" s="8">
        <v>45292</v>
      </c>
      <c r="C7" t="s">
        <v>44</v>
      </c>
      <c r="D7">
        <v>98982</v>
      </c>
      <c r="E7">
        <v>78396</v>
      </c>
    </row>
    <row r="8" spans="1:5" x14ac:dyDescent="0.35">
      <c r="A8" t="s">
        <v>1989</v>
      </c>
      <c r="B8" s="8">
        <v>45261</v>
      </c>
      <c r="C8" t="s">
        <v>44</v>
      </c>
      <c r="D8">
        <v>99746</v>
      </c>
      <c r="E8">
        <v>61014</v>
      </c>
    </row>
    <row r="9" spans="1:5" x14ac:dyDescent="0.35">
      <c r="A9" t="s">
        <v>1989</v>
      </c>
      <c r="B9" s="8">
        <v>45231</v>
      </c>
      <c r="C9" t="s">
        <v>44</v>
      </c>
      <c r="D9">
        <v>88813</v>
      </c>
      <c r="E9">
        <v>74766</v>
      </c>
    </row>
    <row r="10" spans="1:5" x14ac:dyDescent="0.35">
      <c r="A10" t="s">
        <v>1989</v>
      </c>
      <c r="B10" s="8">
        <v>45200</v>
      </c>
      <c r="C10" t="s">
        <v>44</v>
      </c>
      <c r="D10">
        <v>88631</v>
      </c>
      <c r="E10">
        <v>61109</v>
      </c>
    </row>
    <row r="11" spans="1:5" x14ac:dyDescent="0.35">
      <c r="A11" t="s">
        <v>1989</v>
      </c>
      <c r="B11" s="8">
        <v>45170</v>
      </c>
      <c r="C11" t="s">
        <v>44</v>
      </c>
      <c r="D11">
        <v>79912</v>
      </c>
      <c r="E11">
        <v>63247</v>
      </c>
    </row>
    <row r="12" spans="1:5" x14ac:dyDescent="0.35">
      <c r="A12" t="s">
        <v>1989</v>
      </c>
      <c r="B12" s="8">
        <v>45139</v>
      </c>
      <c r="C12" t="s">
        <v>44</v>
      </c>
      <c r="D12">
        <v>86426</v>
      </c>
      <c r="E12">
        <v>61012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D2752-7B03-4D44-A0D7-201A0988277A}">
  <sheetPr codeName="Planilha20"/>
  <dimension ref="A1:E12"/>
  <sheetViews>
    <sheetView workbookViewId="0"/>
  </sheetViews>
  <sheetFormatPr defaultRowHeight="14.5" x14ac:dyDescent="0.35"/>
  <cols>
    <col min="1" max="1" width="11" bestFit="1" customWidth="1"/>
    <col min="2" max="2" width="10.7265625" bestFit="1" customWidth="1"/>
    <col min="3" max="3" width="12.1796875" bestFit="1" customWidth="1"/>
    <col min="4" max="4" width="33.54296875" bestFit="1" customWidth="1"/>
    <col min="5" max="5" width="37.1796875" bestFit="1" customWidth="1"/>
  </cols>
  <sheetData>
    <row r="1" spans="1:5" x14ac:dyDescent="0.35">
      <c r="A1" t="s">
        <v>7</v>
      </c>
      <c r="B1" t="s">
        <v>34</v>
      </c>
      <c r="C1" t="s">
        <v>8</v>
      </c>
      <c r="D1" t="s">
        <v>35</v>
      </c>
      <c r="E1" t="s">
        <v>1987</v>
      </c>
    </row>
    <row r="2" spans="1:5" x14ac:dyDescent="0.35">
      <c r="A2" t="s">
        <v>1989</v>
      </c>
      <c r="B2" s="8">
        <v>45444</v>
      </c>
      <c r="C2" t="s">
        <v>194</v>
      </c>
      <c r="D2">
        <v>270021</v>
      </c>
      <c r="E2">
        <v>130140</v>
      </c>
    </row>
    <row r="3" spans="1:5" x14ac:dyDescent="0.35">
      <c r="A3" t="s">
        <v>1989</v>
      </c>
      <c r="B3" s="8">
        <v>45413</v>
      </c>
      <c r="C3" t="s">
        <v>194</v>
      </c>
      <c r="D3">
        <v>269672</v>
      </c>
      <c r="E3">
        <v>147731</v>
      </c>
    </row>
    <row r="4" spans="1:5" x14ac:dyDescent="0.35">
      <c r="A4" t="s">
        <v>1989</v>
      </c>
      <c r="B4" s="8">
        <v>45383</v>
      </c>
      <c r="C4" t="s">
        <v>194</v>
      </c>
      <c r="D4">
        <v>250489</v>
      </c>
      <c r="E4">
        <v>138315</v>
      </c>
    </row>
    <row r="5" spans="1:5" x14ac:dyDescent="0.35">
      <c r="A5" t="s">
        <v>1989</v>
      </c>
      <c r="B5" s="8">
        <v>45352</v>
      </c>
      <c r="C5" t="s">
        <v>194</v>
      </c>
      <c r="D5">
        <v>269814</v>
      </c>
      <c r="E5">
        <v>152176</v>
      </c>
    </row>
    <row r="6" spans="1:5" x14ac:dyDescent="0.35">
      <c r="A6" t="s">
        <v>1989</v>
      </c>
      <c r="B6" s="8">
        <v>45323</v>
      </c>
      <c r="C6" t="s">
        <v>194</v>
      </c>
      <c r="D6">
        <v>260283</v>
      </c>
      <c r="E6">
        <v>168429</v>
      </c>
    </row>
    <row r="7" spans="1:5" x14ac:dyDescent="0.35">
      <c r="A7" t="s">
        <v>1989</v>
      </c>
      <c r="B7" s="8">
        <v>45292</v>
      </c>
      <c r="C7" t="s">
        <v>194</v>
      </c>
      <c r="D7">
        <v>273354</v>
      </c>
      <c r="E7">
        <v>168344</v>
      </c>
    </row>
    <row r="8" spans="1:5" x14ac:dyDescent="0.35">
      <c r="A8" t="s">
        <v>1989</v>
      </c>
      <c r="B8" s="8">
        <v>45261</v>
      </c>
      <c r="C8" t="s">
        <v>194</v>
      </c>
      <c r="D8">
        <v>275984</v>
      </c>
      <c r="E8">
        <v>142231</v>
      </c>
    </row>
    <row r="9" spans="1:5" x14ac:dyDescent="0.35">
      <c r="A9" t="s">
        <v>1989</v>
      </c>
      <c r="B9" s="8">
        <v>45231</v>
      </c>
      <c r="C9" t="s">
        <v>194</v>
      </c>
      <c r="D9">
        <v>264787</v>
      </c>
      <c r="E9">
        <v>139012</v>
      </c>
    </row>
    <row r="10" spans="1:5" x14ac:dyDescent="0.35">
      <c r="A10" t="s">
        <v>1989</v>
      </c>
      <c r="B10" s="8">
        <v>45200</v>
      </c>
      <c r="C10" t="s">
        <v>194</v>
      </c>
      <c r="D10">
        <v>266259</v>
      </c>
      <c r="E10">
        <v>134380</v>
      </c>
    </row>
    <row r="11" spans="1:5" x14ac:dyDescent="0.35">
      <c r="A11" t="s">
        <v>1989</v>
      </c>
      <c r="B11" s="8">
        <v>45170</v>
      </c>
      <c r="C11" t="s">
        <v>194</v>
      </c>
      <c r="D11">
        <v>242220</v>
      </c>
      <c r="E11">
        <v>131564</v>
      </c>
    </row>
    <row r="12" spans="1:5" x14ac:dyDescent="0.35">
      <c r="A12" t="s">
        <v>1989</v>
      </c>
      <c r="B12" s="8">
        <v>45139</v>
      </c>
      <c r="C12" t="s">
        <v>194</v>
      </c>
      <c r="D12">
        <v>251859</v>
      </c>
      <c r="E12">
        <v>127914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C2DE4-99F3-4AEB-8BA7-ACB327ED1232}">
  <sheetPr codeName="Planilha21"/>
  <dimension ref="A1:E12"/>
  <sheetViews>
    <sheetView workbookViewId="0"/>
  </sheetViews>
  <sheetFormatPr defaultRowHeight="14.5" x14ac:dyDescent="0.35"/>
  <cols>
    <col min="1" max="1" width="11" bestFit="1" customWidth="1"/>
    <col min="2" max="2" width="10.7265625" bestFit="1" customWidth="1"/>
    <col min="3" max="3" width="9.453125" bestFit="1" customWidth="1"/>
    <col min="4" max="4" width="33.54296875" bestFit="1" customWidth="1"/>
    <col min="5" max="5" width="37.1796875" bestFit="1" customWidth="1"/>
  </cols>
  <sheetData>
    <row r="1" spans="1:5" x14ac:dyDescent="0.35">
      <c r="A1" t="s">
        <v>7</v>
      </c>
      <c r="B1" t="s">
        <v>34</v>
      </c>
      <c r="C1" t="s">
        <v>8</v>
      </c>
      <c r="D1" t="s">
        <v>35</v>
      </c>
      <c r="E1" t="s">
        <v>1987</v>
      </c>
    </row>
    <row r="2" spans="1:5" x14ac:dyDescent="0.35">
      <c r="A2" t="s">
        <v>1989</v>
      </c>
      <c r="B2" s="8">
        <v>45444</v>
      </c>
      <c r="C2" t="s">
        <v>42</v>
      </c>
      <c r="D2">
        <v>49113</v>
      </c>
      <c r="E2">
        <v>27934</v>
      </c>
    </row>
    <row r="3" spans="1:5" x14ac:dyDescent="0.35">
      <c r="A3" t="s">
        <v>1989</v>
      </c>
      <c r="B3" s="8">
        <v>45413</v>
      </c>
      <c r="C3" t="s">
        <v>42</v>
      </c>
      <c r="D3">
        <v>43243</v>
      </c>
      <c r="E3">
        <v>36981</v>
      </c>
    </row>
    <row r="4" spans="1:5" x14ac:dyDescent="0.35">
      <c r="A4" t="s">
        <v>1989</v>
      </c>
      <c r="B4" s="8">
        <v>45383</v>
      </c>
      <c r="C4" t="s">
        <v>42</v>
      </c>
      <c r="D4">
        <v>58224</v>
      </c>
      <c r="E4">
        <v>36291</v>
      </c>
    </row>
    <row r="5" spans="1:5" x14ac:dyDescent="0.35">
      <c r="A5" t="s">
        <v>1989</v>
      </c>
      <c r="B5" s="8">
        <v>45352</v>
      </c>
      <c r="C5" t="s">
        <v>42</v>
      </c>
      <c r="D5">
        <v>66854</v>
      </c>
      <c r="E5">
        <v>38825</v>
      </c>
    </row>
    <row r="6" spans="1:5" x14ac:dyDescent="0.35">
      <c r="A6" t="s">
        <v>1989</v>
      </c>
      <c r="B6" s="8">
        <v>45323</v>
      </c>
      <c r="C6" t="s">
        <v>42</v>
      </c>
      <c r="D6">
        <v>69397</v>
      </c>
      <c r="E6">
        <v>41651</v>
      </c>
    </row>
    <row r="7" spans="1:5" x14ac:dyDescent="0.35">
      <c r="A7" t="s">
        <v>1989</v>
      </c>
      <c r="B7" s="8">
        <v>45292</v>
      </c>
      <c r="C7" t="s">
        <v>42</v>
      </c>
      <c r="D7">
        <v>67059</v>
      </c>
      <c r="E7">
        <v>44214</v>
      </c>
    </row>
    <row r="8" spans="1:5" x14ac:dyDescent="0.35">
      <c r="A8" t="s">
        <v>1989</v>
      </c>
      <c r="B8" s="8">
        <v>45261</v>
      </c>
      <c r="C8" t="s">
        <v>42</v>
      </c>
      <c r="D8">
        <v>64842</v>
      </c>
      <c r="E8">
        <v>36576</v>
      </c>
    </row>
    <row r="9" spans="1:5" x14ac:dyDescent="0.35">
      <c r="A9" t="s">
        <v>1989</v>
      </c>
      <c r="B9" s="8">
        <v>45231</v>
      </c>
      <c r="C9" t="s">
        <v>42</v>
      </c>
      <c r="D9">
        <v>60581</v>
      </c>
      <c r="E9">
        <v>39634</v>
      </c>
    </row>
    <row r="10" spans="1:5" x14ac:dyDescent="0.35">
      <c r="A10" t="s">
        <v>1989</v>
      </c>
      <c r="B10" s="8">
        <v>45200</v>
      </c>
      <c r="C10" t="s">
        <v>42</v>
      </c>
      <c r="D10">
        <v>54190</v>
      </c>
      <c r="E10">
        <v>35742</v>
      </c>
    </row>
    <row r="11" spans="1:5" x14ac:dyDescent="0.35">
      <c r="A11" t="s">
        <v>1989</v>
      </c>
      <c r="B11" s="8">
        <v>45170</v>
      </c>
      <c r="C11" t="s">
        <v>42</v>
      </c>
      <c r="D11">
        <v>63112</v>
      </c>
      <c r="E11">
        <v>35160</v>
      </c>
    </row>
    <row r="12" spans="1:5" x14ac:dyDescent="0.35">
      <c r="A12" t="s">
        <v>1989</v>
      </c>
      <c r="B12" s="8">
        <v>45139</v>
      </c>
      <c r="C12" t="s">
        <v>42</v>
      </c>
      <c r="D12">
        <v>60652</v>
      </c>
      <c r="E12">
        <v>31666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A1AD0-E3B1-4F23-843D-E88245094874}">
  <sheetPr codeName="Planilha22"/>
  <dimension ref="A1:E12"/>
  <sheetViews>
    <sheetView workbookViewId="0"/>
  </sheetViews>
  <sheetFormatPr defaultRowHeight="14.5" x14ac:dyDescent="0.35"/>
  <cols>
    <col min="1" max="1" width="11" bestFit="1" customWidth="1"/>
    <col min="2" max="2" width="10.7265625" bestFit="1" customWidth="1"/>
    <col min="3" max="3" width="9.81640625" bestFit="1" customWidth="1"/>
    <col min="4" max="4" width="33.54296875" bestFit="1" customWidth="1"/>
    <col min="5" max="5" width="37.1796875" bestFit="1" customWidth="1"/>
  </cols>
  <sheetData>
    <row r="1" spans="1:5" x14ac:dyDescent="0.35">
      <c r="A1" t="s">
        <v>7</v>
      </c>
      <c r="B1" t="s">
        <v>34</v>
      </c>
      <c r="C1" t="s">
        <v>8</v>
      </c>
      <c r="D1" t="s">
        <v>35</v>
      </c>
      <c r="E1" t="s">
        <v>1987</v>
      </c>
    </row>
    <row r="2" spans="1:5" x14ac:dyDescent="0.35">
      <c r="A2" t="s">
        <v>1989</v>
      </c>
      <c r="B2" s="8">
        <v>45444</v>
      </c>
      <c r="C2" t="s">
        <v>40</v>
      </c>
      <c r="D2">
        <v>23870</v>
      </c>
      <c r="E2">
        <v>14396</v>
      </c>
    </row>
    <row r="3" spans="1:5" x14ac:dyDescent="0.35">
      <c r="A3" t="s">
        <v>1989</v>
      </c>
      <c r="B3" s="8">
        <v>45413</v>
      </c>
      <c r="C3" t="s">
        <v>40</v>
      </c>
      <c r="D3">
        <v>23390</v>
      </c>
      <c r="E3">
        <v>15647</v>
      </c>
    </row>
    <row r="4" spans="1:5" x14ac:dyDescent="0.35">
      <c r="A4" t="s">
        <v>1989</v>
      </c>
      <c r="B4" s="8">
        <v>45383</v>
      </c>
      <c r="C4" t="s">
        <v>40</v>
      </c>
      <c r="D4">
        <v>23450</v>
      </c>
      <c r="E4">
        <v>15179</v>
      </c>
    </row>
    <row r="5" spans="1:5" x14ac:dyDescent="0.35">
      <c r="A5" t="s">
        <v>1989</v>
      </c>
      <c r="B5" s="8">
        <v>45352</v>
      </c>
      <c r="C5" t="s">
        <v>40</v>
      </c>
      <c r="D5">
        <v>22775</v>
      </c>
      <c r="E5">
        <v>16664</v>
      </c>
    </row>
    <row r="6" spans="1:5" x14ac:dyDescent="0.35">
      <c r="A6" t="s">
        <v>1989</v>
      </c>
      <c r="B6" s="8">
        <v>45323</v>
      </c>
      <c r="C6" t="s">
        <v>40</v>
      </c>
      <c r="D6">
        <v>20821</v>
      </c>
      <c r="E6">
        <v>15116</v>
      </c>
    </row>
    <row r="7" spans="1:5" x14ac:dyDescent="0.35">
      <c r="A7" t="s">
        <v>1989</v>
      </c>
      <c r="B7" s="8">
        <v>45292</v>
      </c>
      <c r="C7" t="s">
        <v>40</v>
      </c>
      <c r="D7">
        <v>21767</v>
      </c>
      <c r="E7">
        <v>17867</v>
      </c>
    </row>
    <row r="8" spans="1:5" x14ac:dyDescent="0.35">
      <c r="A8" t="s">
        <v>1989</v>
      </c>
      <c r="B8" s="8">
        <v>45261</v>
      </c>
      <c r="C8" t="s">
        <v>40</v>
      </c>
      <c r="D8">
        <v>22835</v>
      </c>
      <c r="E8">
        <v>14462</v>
      </c>
    </row>
    <row r="9" spans="1:5" x14ac:dyDescent="0.35">
      <c r="A9" t="s">
        <v>1989</v>
      </c>
      <c r="B9" s="8">
        <v>45231</v>
      </c>
      <c r="C9" t="s">
        <v>40</v>
      </c>
      <c r="D9">
        <v>24243</v>
      </c>
      <c r="E9">
        <v>15726</v>
      </c>
    </row>
    <row r="10" spans="1:5" x14ac:dyDescent="0.35">
      <c r="A10" t="s">
        <v>1989</v>
      </c>
      <c r="B10" s="8">
        <v>45200</v>
      </c>
      <c r="C10" t="s">
        <v>40</v>
      </c>
      <c r="D10">
        <v>25926</v>
      </c>
      <c r="E10">
        <v>13682</v>
      </c>
    </row>
    <row r="11" spans="1:5" x14ac:dyDescent="0.35">
      <c r="A11" t="s">
        <v>1989</v>
      </c>
      <c r="B11" s="8">
        <v>45170</v>
      </c>
      <c r="C11" t="s">
        <v>40</v>
      </c>
      <c r="D11">
        <v>24865</v>
      </c>
      <c r="E11">
        <v>13972</v>
      </c>
    </row>
    <row r="12" spans="1:5" x14ac:dyDescent="0.35">
      <c r="A12" t="s">
        <v>1989</v>
      </c>
      <c r="B12" s="8">
        <v>45139</v>
      </c>
      <c r="C12" t="s">
        <v>40</v>
      </c>
      <c r="D12">
        <v>23761</v>
      </c>
      <c r="E12">
        <v>13490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E42E3-4D0B-4675-BCC7-9F136248C31C}">
  <sheetPr codeName="Planilha23"/>
  <dimension ref="A1:E12"/>
  <sheetViews>
    <sheetView workbookViewId="0"/>
  </sheetViews>
  <sheetFormatPr defaultRowHeight="14.5" x14ac:dyDescent="0.35"/>
  <cols>
    <col min="1" max="1" width="11" bestFit="1" customWidth="1"/>
    <col min="2" max="2" width="10.7265625" bestFit="1" customWidth="1"/>
    <col min="3" max="3" width="15" bestFit="1" customWidth="1"/>
    <col min="4" max="4" width="33.54296875" bestFit="1" customWidth="1"/>
    <col min="5" max="5" width="37.1796875" bestFit="1" customWidth="1"/>
  </cols>
  <sheetData>
    <row r="1" spans="1:5" x14ac:dyDescent="0.35">
      <c r="A1" t="s">
        <v>7</v>
      </c>
      <c r="B1" t="s">
        <v>34</v>
      </c>
      <c r="C1" t="s">
        <v>8</v>
      </c>
      <c r="D1" t="s">
        <v>35</v>
      </c>
      <c r="E1" t="s">
        <v>1987</v>
      </c>
    </row>
    <row r="2" spans="1:5" x14ac:dyDescent="0.35">
      <c r="A2" t="s">
        <v>1989</v>
      </c>
      <c r="B2" s="8">
        <v>45444</v>
      </c>
      <c r="C2" t="s">
        <v>41</v>
      </c>
      <c r="D2">
        <v>159566</v>
      </c>
      <c r="E2">
        <v>93321</v>
      </c>
    </row>
    <row r="3" spans="1:5" x14ac:dyDescent="0.35">
      <c r="A3" t="s">
        <v>1989</v>
      </c>
      <c r="B3" s="8">
        <v>45413</v>
      </c>
      <c r="C3" t="s">
        <v>41</v>
      </c>
      <c r="D3">
        <v>165123</v>
      </c>
      <c r="E3">
        <v>104692</v>
      </c>
    </row>
    <row r="4" spans="1:5" x14ac:dyDescent="0.35">
      <c r="A4" t="s">
        <v>1989</v>
      </c>
      <c r="B4" s="8">
        <v>45383</v>
      </c>
      <c r="C4" t="s">
        <v>41</v>
      </c>
      <c r="D4">
        <v>159011</v>
      </c>
      <c r="E4">
        <v>102185</v>
      </c>
    </row>
    <row r="5" spans="1:5" x14ac:dyDescent="0.35">
      <c r="A5" t="s">
        <v>1989</v>
      </c>
      <c r="B5" s="8">
        <v>45352</v>
      </c>
      <c r="C5" t="s">
        <v>41</v>
      </c>
      <c r="D5">
        <v>167684</v>
      </c>
      <c r="E5">
        <v>105507</v>
      </c>
    </row>
    <row r="6" spans="1:5" x14ac:dyDescent="0.35">
      <c r="A6" t="s">
        <v>1989</v>
      </c>
      <c r="B6" s="8">
        <v>45323</v>
      </c>
      <c r="C6" t="s">
        <v>41</v>
      </c>
      <c r="D6">
        <v>156293</v>
      </c>
      <c r="E6">
        <v>114717</v>
      </c>
    </row>
    <row r="7" spans="1:5" x14ac:dyDescent="0.35">
      <c r="A7" t="s">
        <v>1989</v>
      </c>
      <c r="B7" s="8">
        <v>45292</v>
      </c>
      <c r="C7" t="s">
        <v>41</v>
      </c>
      <c r="D7">
        <v>166715</v>
      </c>
      <c r="E7">
        <v>114210</v>
      </c>
    </row>
    <row r="8" spans="1:5" x14ac:dyDescent="0.35">
      <c r="A8" t="s">
        <v>1989</v>
      </c>
      <c r="B8" s="8">
        <v>45261</v>
      </c>
      <c r="C8" t="s">
        <v>41</v>
      </c>
      <c r="D8">
        <v>172596</v>
      </c>
      <c r="E8">
        <v>99671</v>
      </c>
    </row>
    <row r="9" spans="1:5" x14ac:dyDescent="0.35">
      <c r="A9" t="s">
        <v>1989</v>
      </c>
      <c r="B9" s="8">
        <v>45231</v>
      </c>
      <c r="C9" t="s">
        <v>41</v>
      </c>
      <c r="D9">
        <v>157700</v>
      </c>
      <c r="E9">
        <v>94118</v>
      </c>
    </row>
    <row r="10" spans="1:5" x14ac:dyDescent="0.35">
      <c r="A10" t="s">
        <v>1989</v>
      </c>
      <c r="B10" s="8">
        <v>45200</v>
      </c>
      <c r="C10" t="s">
        <v>41</v>
      </c>
      <c r="D10">
        <v>161463</v>
      </c>
      <c r="E10">
        <v>89162</v>
      </c>
    </row>
    <row r="11" spans="1:5" x14ac:dyDescent="0.35">
      <c r="A11" t="s">
        <v>1989</v>
      </c>
      <c r="B11" s="8">
        <v>45170</v>
      </c>
      <c r="C11" t="s">
        <v>41</v>
      </c>
      <c r="D11">
        <v>146906</v>
      </c>
      <c r="E11">
        <v>96423</v>
      </c>
    </row>
    <row r="12" spans="1:5" x14ac:dyDescent="0.35">
      <c r="A12" t="s">
        <v>1989</v>
      </c>
      <c r="B12" s="8">
        <v>45139</v>
      </c>
      <c r="C12" t="s">
        <v>41</v>
      </c>
      <c r="D12">
        <v>149429</v>
      </c>
      <c r="E12">
        <v>88152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7C1FF-1646-4175-B3B8-3E7BAE9356F6}">
  <sheetPr codeName="Planilha24"/>
  <dimension ref="B2:F80"/>
  <sheetViews>
    <sheetView workbookViewId="0"/>
  </sheetViews>
  <sheetFormatPr defaultRowHeight="14.5" x14ac:dyDescent="0.35"/>
  <cols>
    <col min="1" max="1" width="3.54296875" customWidth="1"/>
    <col min="2" max="2" width="10.81640625" customWidth="1"/>
    <col min="3" max="3" width="14.26953125" bestFit="1" customWidth="1"/>
    <col min="4" max="4" width="10.26953125" customWidth="1"/>
    <col min="5" max="5" width="30" bestFit="1" customWidth="1"/>
    <col min="6" max="6" width="25.26953125" customWidth="1"/>
  </cols>
  <sheetData>
    <row r="2" spans="2:6" x14ac:dyDescent="0.35">
      <c r="B2" t="s">
        <v>7</v>
      </c>
      <c r="C2" t="s">
        <v>8</v>
      </c>
      <c r="D2" t="s">
        <v>34</v>
      </c>
      <c r="E2" t="s">
        <v>3</v>
      </c>
      <c r="F2" t="s">
        <v>4</v>
      </c>
    </row>
    <row r="3" spans="2:6" x14ac:dyDescent="0.35">
      <c r="B3" t="s">
        <v>1993</v>
      </c>
      <c r="C3" s="12" t="s">
        <v>1988</v>
      </c>
      <c r="D3" s="3">
        <v>45444</v>
      </c>
      <c r="E3" s="2">
        <v>10999</v>
      </c>
      <c r="F3" s="2">
        <v>17968</v>
      </c>
    </row>
    <row r="4" spans="2:6" x14ac:dyDescent="0.35">
      <c r="B4" t="s">
        <v>1993</v>
      </c>
      <c r="C4" s="12" t="s">
        <v>1988</v>
      </c>
      <c r="D4" s="3">
        <v>45413</v>
      </c>
      <c r="E4" s="2">
        <v>13422</v>
      </c>
      <c r="F4" s="2">
        <v>18738</v>
      </c>
    </row>
    <row r="5" spans="2:6" x14ac:dyDescent="0.35">
      <c r="B5" t="s">
        <v>1993</v>
      </c>
      <c r="C5" s="12" t="s">
        <v>1988</v>
      </c>
      <c r="D5" s="3">
        <v>45383</v>
      </c>
      <c r="E5" s="2">
        <v>12767</v>
      </c>
      <c r="F5" s="2">
        <v>18598</v>
      </c>
    </row>
    <row r="6" spans="2:6" x14ac:dyDescent="0.35">
      <c r="B6" t="s">
        <v>1993</v>
      </c>
      <c r="C6" s="12" t="s">
        <v>1988</v>
      </c>
      <c r="D6" s="3">
        <v>45352</v>
      </c>
      <c r="E6" s="2">
        <v>13035</v>
      </c>
      <c r="F6" s="2">
        <v>19922</v>
      </c>
    </row>
    <row r="7" spans="2:6" x14ac:dyDescent="0.35">
      <c r="B7" t="s">
        <v>1993</v>
      </c>
      <c r="C7" s="12" t="s">
        <v>1988</v>
      </c>
      <c r="D7" s="3">
        <v>45323</v>
      </c>
      <c r="E7" s="2">
        <v>16851</v>
      </c>
      <c r="F7" s="2">
        <v>19802</v>
      </c>
    </row>
    <row r="8" spans="2:6" x14ac:dyDescent="0.35">
      <c r="B8" t="s">
        <v>1993</v>
      </c>
      <c r="C8" s="12" t="s">
        <v>1988</v>
      </c>
      <c r="D8" s="3">
        <v>45292</v>
      </c>
      <c r="E8" s="2">
        <v>14496</v>
      </c>
      <c r="F8" s="2">
        <v>21070</v>
      </c>
    </row>
    <row r="9" spans="2:6" x14ac:dyDescent="0.35">
      <c r="B9" t="s">
        <v>1993</v>
      </c>
      <c r="C9" s="12" t="s">
        <v>1988</v>
      </c>
      <c r="D9" s="3">
        <v>45261</v>
      </c>
      <c r="E9" s="2">
        <v>12518</v>
      </c>
      <c r="F9" s="2">
        <v>21481</v>
      </c>
    </row>
    <row r="10" spans="2:6" x14ac:dyDescent="0.35">
      <c r="B10" t="s">
        <v>1993</v>
      </c>
      <c r="C10" s="12" t="s">
        <v>1988</v>
      </c>
      <c r="D10" s="3">
        <v>45231</v>
      </c>
      <c r="E10" s="2">
        <v>13952</v>
      </c>
      <c r="F10" s="2">
        <v>20598</v>
      </c>
    </row>
    <row r="11" spans="2:6" x14ac:dyDescent="0.35">
      <c r="B11" t="s">
        <v>1993</v>
      </c>
      <c r="C11" s="12" t="s">
        <v>1988</v>
      </c>
      <c r="D11" s="3">
        <v>45200</v>
      </c>
      <c r="E11" s="2">
        <v>12263</v>
      </c>
      <c r="F11" s="2">
        <v>20301</v>
      </c>
    </row>
    <row r="12" spans="2:6" x14ac:dyDescent="0.35">
      <c r="B12" t="s">
        <v>1993</v>
      </c>
      <c r="C12" s="12" t="s">
        <v>1988</v>
      </c>
      <c r="D12" s="3">
        <v>45170</v>
      </c>
      <c r="E12" s="2">
        <v>11726</v>
      </c>
      <c r="F12" s="2">
        <v>19079</v>
      </c>
    </row>
    <row r="13" spans="2:6" x14ac:dyDescent="0.35">
      <c r="B13" t="s">
        <v>1993</v>
      </c>
      <c r="C13" s="12" t="s">
        <v>1988</v>
      </c>
      <c r="D13" s="3">
        <v>45139</v>
      </c>
      <c r="E13" s="2">
        <v>11661</v>
      </c>
      <c r="F13" s="2">
        <v>20342</v>
      </c>
    </row>
    <row r="14" spans="2:6" x14ac:dyDescent="0.35">
      <c r="B14" t="s">
        <v>1993</v>
      </c>
      <c r="C14" s="13" t="s">
        <v>48</v>
      </c>
      <c r="D14" s="11">
        <v>45444</v>
      </c>
      <c r="E14" s="2">
        <v>15126</v>
      </c>
      <c r="F14" s="2">
        <v>6317</v>
      </c>
    </row>
    <row r="15" spans="2:6" x14ac:dyDescent="0.35">
      <c r="B15" t="s">
        <v>1993</v>
      </c>
      <c r="C15" s="14" t="s">
        <v>48</v>
      </c>
      <c r="D15" s="10">
        <v>45413</v>
      </c>
      <c r="E15" s="2">
        <v>14923</v>
      </c>
      <c r="F15" s="2">
        <v>5564</v>
      </c>
    </row>
    <row r="16" spans="2:6" x14ac:dyDescent="0.35">
      <c r="B16" t="s">
        <v>1993</v>
      </c>
      <c r="C16" s="14" t="s">
        <v>48</v>
      </c>
      <c r="D16" s="10">
        <v>45383</v>
      </c>
      <c r="E16" s="2">
        <v>16159</v>
      </c>
      <c r="F16" s="2">
        <v>6036</v>
      </c>
    </row>
    <row r="17" spans="2:6" x14ac:dyDescent="0.35">
      <c r="B17" t="s">
        <v>1993</v>
      </c>
      <c r="C17" s="14" t="s">
        <v>48</v>
      </c>
      <c r="D17" s="10">
        <v>45352</v>
      </c>
      <c r="E17" s="2">
        <v>17323</v>
      </c>
      <c r="F17" s="2">
        <v>7813</v>
      </c>
    </row>
    <row r="18" spans="2:6" x14ac:dyDescent="0.35">
      <c r="B18" t="s">
        <v>1993</v>
      </c>
      <c r="C18" s="14" t="s">
        <v>48</v>
      </c>
      <c r="D18" s="10">
        <v>45323</v>
      </c>
      <c r="E18" s="2">
        <v>16349</v>
      </c>
      <c r="F18" s="2">
        <v>6062</v>
      </c>
    </row>
    <row r="19" spans="2:6" x14ac:dyDescent="0.35">
      <c r="B19" t="s">
        <v>1993</v>
      </c>
      <c r="C19" s="14" t="s">
        <v>48</v>
      </c>
      <c r="D19" s="10">
        <v>45292</v>
      </c>
      <c r="E19" s="2">
        <v>15556</v>
      </c>
      <c r="F19" s="2">
        <v>6937</v>
      </c>
    </row>
    <row r="20" spans="2:6" x14ac:dyDescent="0.35">
      <c r="B20" t="s">
        <v>1993</v>
      </c>
      <c r="C20" s="14" t="s">
        <v>48</v>
      </c>
      <c r="D20" s="10">
        <v>45261</v>
      </c>
      <c r="E20" s="2">
        <v>15770</v>
      </c>
      <c r="F20" s="2">
        <v>5955</v>
      </c>
    </row>
    <row r="21" spans="2:6" x14ac:dyDescent="0.35">
      <c r="B21" t="s">
        <v>1993</v>
      </c>
      <c r="C21" s="14" t="s">
        <v>48</v>
      </c>
      <c r="D21" s="10">
        <v>45231</v>
      </c>
      <c r="E21" s="2">
        <v>15100</v>
      </c>
      <c r="F21" s="2">
        <v>6114</v>
      </c>
    </row>
    <row r="22" spans="2:6" x14ac:dyDescent="0.35">
      <c r="B22" t="s">
        <v>1993</v>
      </c>
      <c r="C22" s="14" t="s">
        <v>48</v>
      </c>
      <c r="D22" s="10">
        <v>45200</v>
      </c>
      <c r="E22" s="2">
        <v>16320</v>
      </c>
      <c r="F22" s="2">
        <v>5897</v>
      </c>
    </row>
    <row r="23" spans="2:6" x14ac:dyDescent="0.35">
      <c r="B23" t="s">
        <v>1993</v>
      </c>
      <c r="C23" s="14" t="s">
        <v>48</v>
      </c>
      <c r="D23" s="10">
        <v>45170</v>
      </c>
      <c r="E23" s="2">
        <v>14555</v>
      </c>
      <c r="F23" s="2">
        <v>5600</v>
      </c>
    </row>
    <row r="24" spans="2:6" x14ac:dyDescent="0.35">
      <c r="B24" t="s">
        <v>1993</v>
      </c>
      <c r="C24" s="14" t="s">
        <v>48</v>
      </c>
      <c r="D24" s="10">
        <v>45139</v>
      </c>
      <c r="E24" s="2">
        <v>14696</v>
      </c>
      <c r="F24" s="2">
        <v>5019</v>
      </c>
    </row>
    <row r="25" spans="2:6" x14ac:dyDescent="0.35">
      <c r="B25" t="s">
        <v>1993</v>
      </c>
      <c r="C25" s="13" t="s">
        <v>56</v>
      </c>
      <c r="D25" s="11">
        <v>45444</v>
      </c>
      <c r="E25" s="2">
        <v>364729</v>
      </c>
      <c r="F25" s="2">
        <v>194558</v>
      </c>
    </row>
    <row r="26" spans="2:6" x14ac:dyDescent="0.35">
      <c r="B26" t="s">
        <v>1993</v>
      </c>
      <c r="C26" s="14" t="s">
        <v>56</v>
      </c>
      <c r="D26" s="10">
        <v>45413</v>
      </c>
      <c r="E26" s="2">
        <v>378832</v>
      </c>
      <c r="F26" s="2">
        <v>218753</v>
      </c>
    </row>
    <row r="27" spans="2:6" x14ac:dyDescent="0.35">
      <c r="B27" t="s">
        <v>1993</v>
      </c>
      <c r="C27" s="14" t="s">
        <v>56</v>
      </c>
      <c r="D27" s="10">
        <v>45383</v>
      </c>
      <c r="E27" s="2">
        <v>380966</v>
      </c>
      <c r="F27" s="2">
        <v>196089</v>
      </c>
    </row>
    <row r="28" spans="2:6" x14ac:dyDescent="0.35">
      <c r="B28" t="s">
        <v>1993</v>
      </c>
      <c r="C28" s="14" t="s">
        <v>56</v>
      </c>
      <c r="D28" s="10">
        <v>45352</v>
      </c>
      <c r="E28" s="2">
        <v>388890</v>
      </c>
      <c r="F28" s="2">
        <v>229935</v>
      </c>
    </row>
    <row r="29" spans="2:6" x14ac:dyDescent="0.35">
      <c r="B29" t="s">
        <v>1993</v>
      </c>
      <c r="C29" s="14" t="s">
        <v>56</v>
      </c>
      <c r="D29" s="10">
        <v>45323</v>
      </c>
      <c r="E29" s="2">
        <v>376312</v>
      </c>
      <c r="F29" s="2">
        <v>237552</v>
      </c>
    </row>
    <row r="30" spans="2:6" x14ac:dyDescent="0.35">
      <c r="B30" t="s">
        <v>1993</v>
      </c>
      <c r="C30" s="14" t="s">
        <v>56</v>
      </c>
      <c r="D30" s="10">
        <v>45292</v>
      </c>
      <c r="E30" s="2">
        <v>379992</v>
      </c>
      <c r="F30" s="2">
        <v>251084</v>
      </c>
    </row>
    <row r="31" spans="2:6" x14ac:dyDescent="0.35">
      <c r="B31" t="s">
        <v>1993</v>
      </c>
      <c r="C31" s="14" t="s">
        <v>56</v>
      </c>
      <c r="D31" s="10">
        <v>45261</v>
      </c>
      <c r="E31" s="2">
        <v>391644</v>
      </c>
      <c r="F31" s="2">
        <v>203075</v>
      </c>
    </row>
    <row r="32" spans="2:6" x14ac:dyDescent="0.35">
      <c r="B32" t="s">
        <v>1993</v>
      </c>
      <c r="C32" s="14" t="s">
        <v>56</v>
      </c>
      <c r="D32" s="10">
        <v>45231</v>
      </c>
      <c r="E32" s="2">
        <v>381869</v>
      </c>
      <c r="F32" s="2">
        <v>216199</v>
      </c>
    </row>
    <row r="33" spans="2:6" x14ac:dyDescent="0.35">
      <c r="B33" t="s">
        <v>1993</v>
      </c>
      <c r="C33" s="14" t="s">
        <v>56</v>
      </c>
      <c r="D33" s="10">
        <v>45200</v>
      </c>
      <c r="E33" s="2">
        <v>371795</v>
      </c>
      <c r="F33" s="2">
        <v>197526</v>
      </c>
    </row>
    <row r="34" spans="2:6" x14ac:dyDescent="0.35">
      <c r="B34" t="s">
        <v>1993</v>
      </c>
      <c r="C34" s="14" t="s">
        <v>56</v>
      </c>
      <c r="D34" s="10">
        <v>45170</v>
      </c>
      <c r="E34" s="2">
        <v>357002</v>
      </c>
      <c r="F34" s="2">
        <v>205857</v>
      </c>
    </row>
    <row r="35" spans="2:6" x14ac:dyDescent="0.35">
      <c r="B35" t="s">
        <v>1993</v>
      </c>
      <c r="C35" s="14" t="s">
        <v>56</v>
      </c>
      <c r="D35" s="10">
        <v>45139</v>
      </c>
      <c r="E35" s="2">
        <v>375768</v>
      </c>
      <c r="F35" s="2">
        <v>181324</v>
      </c>
    </row>
    <row r="36" spans="2:6" x14ac:dyDescent="0.35">
      <c r="B36" t="s">
        <v>1993</v>
      </c>
      <c r="C36" s="13" t="s">
        <v>51</v>
      </c>
      <c r="D36" s="11">
        <v>45444</v>
      </c>
      <c r="E36" s="2">
        <v>235612</v>
      </c>
      <c r="F36" s="2">
        <v>83545</v>
      </c>
    </row>
    <row r="37" spans="2:6" x14ac:dyDescent="0.35">
      <c r="B37" t="s">
        <v>1993</v>
      </c>
      <c r="C37" s="14" t="s">
        <v>51</v>
      </c>
      <c r="D37" s="10">
        <v>45413</v>
      </c>
      <c r="E37" s="2">
        <v>237885</v>
      </c>
      <c r="F37" s="2">
        <v>93179</v>
      </c>
    </row>
    <row r="38" spans="2:6" x14ac:dyDescent="0.35">
      <c r="B38" t="s">
        <v>1993</v>
      </c>
      <c r="C38" s="14" t="s">
        <v>51</v>
      </c>
      <c r="D38" s="10">
        <v>45383</v>
      </c>
      <c r="E38" s="2">
        <v>228841</v>
      </c>
      <c r="F38" s="2">
        <v>86883</v>
      </c>
    </row>
    <row r="39" spans="2:6" x14ac:dyDescent="0.35">
      <c r="B39" t="s">
        <v>1993</v>
      </c>
      <c r="C39" s="14" t="s">
        <v>51</v>
      </c>
      <c r="D39" s="10">
        <v>45352</v>
      </c>
      <c r="E39" s="2">
        <v>237306</v>
      </c>
      <c r="F39" s="2">
        <v>93232</v>
      </c>
    </row>
    <row r="40" spans="2:6" x14ac:dyDescent="0.35">
      <c r="B40" t="s">
        <v>1993</v>
      </c>
      <c r="C40" s="14" t="s">
        <v>51</v>
      </c>
      <c r="D40" s="10">
        <v>45323</v>
      </c>
      <c r="E40" s="2">
        <v>216261</v>
      </c>
      <c r="F40" s="2">
        <v>106261</v>
      </c>
    </row>
    <row r="41" spans="2:6" x14ac:dyDescent="0.35">
      <c r="B41" t="s">
        <v>1993</v>
      </c>
      <c r="C41" s="14" t="s">
        <v>51</v>
      </c>
      <c r="D41" s="10">
        <v>45292</v>
      </c>
      <c r="E41" s="2">
        <v>226523</v>
      </c>
      <c r="F41" s="2">
        <v>105146</v>
      </c>
    </row>
    <row r="42" spans="2:6" x14ac:dyDescent="0.35">
      <c r="B42" t="s">
        <v>1993</v>
      </c>
      <c r="C42" s="14" t="s">
        <v>51</v>
      </c>
      <c r="D42" s="10">
        <v>45261</v>
      </c>
      <c r="E42" s="2">
        <v>235954</v>
      </c>
      <c r="F42" s="2">
        <v>89695</v>
      </c>
    </row>
    <row r="43" spans="2:6" x14ac:dyDescent="0.35">
      <c r="B43" t="s">
        <v>1993</v>
      </c>
      <c r="C43" s="14" t="s">
        <v>51</v>
      </c>
      <c r="D43" s="10">
        <v>45231</v>
      </c>
      <c r="E43" s="2">
        <v>233237</v>
      </c>
      <c r="F43" s="2">
        <v>92167</v>
      </c>
    </row>
    <row r="44" spans="2:6" x14ac:dyDescent="0.35">
      <c r="B44" t="s">
        <v>1993</v>
      </c>
      <c r="C44" s="14" t="s">
        <v>51</v>
      </c>
      <c r="D44" s="10">
        <v>45200</v>
      </c>
      <c r="E44" s="2">
        <v>230373</v>
      </c>
      <c r="F44" s="2">
        <v>84913</v>
      </c>
    </row>
    <row r="45" spans="2:6" x14ac:dyDescent="0.35">
      <c r="B45" t="s">
        <v>1993</v>
      </c>
      <c r="C45" s="14" t="s">
        <v>51</v>
      </c>
      <c r="D45" s="10">
        <v>45170</v>
      </c>
      <c r="E45" s="2">
        <v>220771</v>
      </c>
      <c r="F45" s="2">
        <v>87186</v>
      </c>
    </row>
    <row r="46" spans="2:6" x14ac:dyDescent="0.35">
      <c r="B46" t="s">
        <v>1993</v>
      </c>
      <c r="C46" s="14" t="s">
        <v>51</v>
      </c>
      <c r="D46" s="10">
        <v>45139</v>
      </c>
      <c r="E46" s="2">
        <v>227726</v>
      </c>
      <c r="F46" s="2">
        <v>81488</v>
      </c>
    </row>
    <row r="47" spans="2:6" x14ac:dyDescent="0.35">
      <c r="B47" t="s">
        <v>1993</v>
      </c>
      <c r="C47" s="13" t="s">
        <v>49</v>
      </c>
      <c r="D47" s="11">
        <v>45444</v>
      </c>
      <c r="E47" s="2">
        <v>34831</v>
      </c>
      <c r="F47" s="2">
        <v>18833</v>
      </c>
    </row>
    <row r="48" spans="2:6" x14ac:dyDescent="0.35">
      <c r="B48" t="s">
        <v>1993</v>
      </c>
      <c r="C48" s="14" t="s">
        <v>49</v>
      </c>
      <c r="D48" s="10">
        <v>45413</v>
      </c>
      <c r="E48" s="2">
        <v>37948</v>
      </c>
      <c r="F48" s="2">
        <v>21522</v>
      </c>
    </row>
    <row r="49" spans="2:6" x14ac:dyDescent="0.35">
      <c r="B49" t="s">
        <v>1993</v>
      </c>
      <c r="C49" s="14" t="s">
        <v>49</v>
      </c>
      <c r="D49" s="10">
        <v>45383</v>
      </c>
      <c r="E49" s="2">
        <v>36401</v>
      </c>
      <c r="F49" s="2">
        <v>19357</v>
      </c>
    </row>
    <row r="50" spans="2:6" x14ac:dyDescent="0.35">
      <c r="B50" t="s">
        <v>1993</v>
      </c>
      <c r="C50" s="14" t="s">
        <v>49</v>
      </c>
      <c r="D50" s="10">
        <v>45352</v>
      </c>
      <c r="E50" s="2">
        <v>37918</v>
      </c>
      <c r="F50" s="2">
        <v>21817</v>
      </c>
    </row>
    <row r="51" spans="2:6" x14ac:dyDescent="0.35">
      <c r="B51" t="s">
        <v>1993</v>
      </c>
      <c r="C51" s="14" t="s">
        <v>49</v>
      </c>
      <c r="D51" s="10">
        <v>45323</v>
      </c>
      <c r="E51" s="2">
        <v>36376</v>
      </c>
      <c r="F51" s="2">
        <v>24251</v>
      </c>
    </row>
    <row r="52" spans="2:6" x14ac:dyDescent="0.35">
      <c r="B52" t="s">
        <v>1993</v>
      </c>
      <c r="C52" s="14" t="s">
        <v>49</v>
      </c>
      <c r="D52" s="10">
        <v>45292</v>
      </c>
      <c r="E52" s="2">
        <v>37786</v>
      </c>
      <c r="F52" s="2">
        <v>22672</v>
      </c>
    </row>
    <row r="53" spans="2:6" x14ac:dyDescent="0.35">
      <c r="B53" t="s">
        <v>1993</v>
      </c>
      <c r="C53" s="14" t="s">
        <v>49</v>
      </c>
      <c r="D53" s="10">
        <v>45261</v>
      </c>
      <c r="E53" s="2">
        <v>37160</v>
      </c>
      <c r="F53" s="2">
        <v>21133</v>
      </c>
    </row>
    <row r="54" spans="2:6" x14ac:dyDescent="0.35">
      <c r="B54" t="s">
        <v>1993</v>
      </c>
      <c r="C54" s="14" t="s">
        <v>49</v>
      </c>
      <c r="D54" s="10">
        <v>45231</v>
      </c>
      <c r="E54" s="2">
        <v>34763</v>
      </c>
      <c r="F54" s="2">
        <v>19987</v>
      </c>
    </row>
    <row r="55" spans="2:6" x14ac:dyDescent="0.35">
      <c r="B55" t="s">
        <v>1993</v>
      </c>
      <c r="C55" s="14" t="s">
        <v>49</v>
      </c>
      <c r="D55" s="10">
        <v>45200</v>
      </c>
      <c r="E55" s="2">
        <v>33386</v>
      </c>
      <c r="F55" s="2">
        <v>19262</v>
      </c>
    </row>
    <row r="56" spans="2:6" x14ac:dyDescent="0.35">
      <c r="B56" t="s">
        <v>1993</v>
      </c>
      <c r="C56" s="14" t="s">
        <v>49</v>
      </c>
      <c r="D56" s="10">
        <v>45170</v>
      </c>
      <c r="E56" s="2">
        <v>30804</v>
      </c>
      <c r="F56" s="2">
        <v>19955</v>
      </c>
    </row>
    <row r="57" spans="2:6" x14ac:dyDescent="0.35">
      <c r="B57" t="s">
        <v>1993</v>
      </c>
      <c r="C57" s="14" t="s">
        <v>49</v>
      </c>
      <c r="D57" s="10">
        <v>45139</v>
      </c>
      <c r="E57" s="2">
        <v>31930</v>
      </c>
      <c r="F57" s="2">
        <v>17945</v>
      </c>
    </row>
    <row r="58" spans="2:6" x14ac:dyDescent="0.35">
      <c r="B58" t="s">
        <v>1993</v>
      </c>
      <c r="C58" s="13" t="s">
        <v>45</v>
      </c>
      <c r="D58" s="11">
        <v>45444</v>
      </c>
      <c r="E58" s="2">
        <v>355098</v>
      </c>
      <c r="F58" s="2">
        <v>115995</v>
      </c>
    </row>
    <row r="59" spans="2:6" x14ac:dyDescent="0.35">
      <c r="B59" t="s">
        <v>1993</v>
      </c>
      <c r="C59" s="14" t="s">
        <v>45</v>
      </c>
      <c r="D59" s="10">
        <v>45413</v>
      </c>
      <c r="E59" s="2">
        <v>359014</v>
      </c>
      <c r="F59" s="2">
        <v>133315</v>
      </c>
    </row>
    <row r="60" spans="2:6" x14ac:dyDescent="0.35">
      <c r="B60" t="s">
        <v>1993</v>
      </c>
      <c r="C60" s="14" t="s">
        <v>45</v>
      </c>
      <c r="D60" s="10">
        <v>45383</v>
      </c>
      <c r="E60" s="2">
        <v>343149</v>
      </c>
      <c r="F60" s="2">
        <v>124336</v>
      </c>
    </row>
    <row r="61" spans="2:6" x14ac:dyDescent="0.35">
      <c r="B61" t="s">
        <v>1993</v>
      </c>
      <c r="C61" s="14" t="s">
        <v>45</v>
      </c>
      <c r="D61" s="10">
        <v>45352</v>
      </c>
      <c r="E61" s="2">
        <v>353321</v>
      </c>
      <c r="F61" s="2">
        <v>137750</v>
      </c>
    </row>
    <row r="62" spans="2:6" x14ac:dyDescent="0.35">
      <c r="B62" t="s">
        <v>1993</v>
      </c>
      <c r="C62" s="14" t="s">
        <v>45</v>
      </c>
      <c r="D62" s="10">
        <v>45323</v>
      </c>
      <c r="E62" s="2">
        <v>340311</v>
      </c>
      <c r="F62" s="2">
        <v>149700</v>
      </c>
    </row>
    <row r="63" spans="2:6" x14ac:dyDescent="0.35">
      <c r="B63" t="s">
        <v>1993</v>
      </c>
      <c r="C63" s="14" t="s">
        <v>45</v>
      </c>
      <c r="D63" s="10">
        <v>45292</v>
      </c>
      <c r="E63" s="2">
        <v>354957</v>
      </c>
      <c r="F63" s="2">
        <v>155187</v>
      </c>
    </row>
    <row r="64" spans="2:6" x14ac:dyDescent="0.35">
      <c r="B64" t="s">
        <v>1993</v>
      </c>
      <c r="C64" s="14" t="s">
        <v>45</v>
      </c>
      <c r="D64" s="10">
        <v>45261</v>
      </c>
      <c r="E64" s="2">
        <v>359323</v>
      </c>
      <c r="F64" s="2">
        <v>128978</v>
      </c>
    </row>
    <row r="65" spans="2:6" x14ac:dyDescent="0.35">
      <c r="B65" t="s">
        <v>1993</v>
      </c>
      <c r="C65" s="14" t="s">
        <v>45</v>
      </c>
      <c r="D65" s="10">
        <v>45231</v>
      </c>
      <c r="E65" s="2">
        <v>327020</v>
      </c>
      <c r="F65" s="2">
        <v>125421</v>
      </c>
    </row>
    <row r="66" spans="2:6" x14ac:dyDescent="0.35">
      <c r="B66" t="s">
        <v>1993</v>
      </c>
      <c r="C66" s="14" t="s">
        <v>45</v>
      </c>
      <c r="D66" s="10">
        <v>45200</v>
      </c>
      <c r="E66" s="2">
        <v>355400</v>
      </c>
      <c r="F66" s="2">
        <v>123942</v>
      </c>
    </row>
    <row r="67" spans="2:6" x14ac:dyDescent="0.35">
      <c r="B67" t="s">
        <v>1993</v>
      </c>
      <c r="C67" s="14" t="s">
        <v>45</v>
      </c>
      <c r="D67" s="10">
        <v>45170</v>
      </c>
      <c r="E67" s="2">
        <v>366341</v>
      </c>
      <c r="F67" s="2">
        <v>124177</v>
      </c>
    </row>
    <row r="68" spans="2:6" x14ac:dyDescent="0.35">
      <c r="B68" t="s">
        <v>1993</v>
      </c>
      <c r="C68" s="14" t="s">
        <v>45</v>
      </c>
      <c r="D68" s="10">
        <v>45139</v>
      </c>
      <c r="E68" s="2">
        <v>387725</v>
      </c>
      <c r="F68" s="2">
        <v>118170</v>
      </c>
    </row>
    <row r="69" spans="2:6" x14ac:dyDescent="0.35">
      <c r="B69" t="s">
        <v>1993</v>
      </c>
      <c r="C69" s="13" t="s">
        <v>38</v>
      </c>
      <c r="D69" s="11">
        <v>45444</v>
      </c>
      <c r="E69" s="2">
        <v>766641</v>
      </c>
      <c r="F69" s="2">
        <v>267624</v>
      </c>
    </row>
    <row r="70" spans="2:6" x14ac:dyDescent="0.35">
      <c r="B70" t="s">
        <v>1993</v>
      </c>
      <c r="C70" s="14" t="s">
        <v>38</v>
      </c>
      <c r="D70" s="10">
        <v>45413</v>
      </c>
      <c r="E70" s="2">
        <v>777985</v>
      </c>
      <c r="F70" s="2">
        <v>277650</v>
      </c>
    </row>
    <row r="71" spans="2:6" x14ac:dyDescent="0.35">
      <c r="B71" t="s">
        <v>1993</v>
      </c>
      <c r="C71" s="14" t="s">
        <v>38</v>
      </c>
      <c r="D71" s="10">
        <v>45383</v>
      </c>
      <c r="E71" s="2">
        <v>750075</v>
      </c>
      <c r="F71" s="2">
        <v>258576</v>
      </c>
    </row>
    <row r="72" spans="2:6" x14ac:dyDescent="0.35">
      <c r="B72" t="s">
        <v>1993</v>
      </c>
      <c r="C72" s="14" t="s">
        <v>38</v>
      </c>
      <c r="D72" s="10">
        <v>45352</v>
      </c>
      <c r="E72" s="2">
        <v>821754</v>
      </c>
      <c r="F72" s="2">
        <v>294713</v>
      </c>
    </row>
    <row r="73" spans="2:6" x14ac:dyDescent="0.35">
      <c r="B73" t="s">
        <v>1993</v>
      </c>
      <c r="C73" s="14" t="s">
        <v>38</v>
      </c>
      <c r="D73" s="10">
        <v>45323</v>
      </c>
      <c r="E73" s="2">
        <v>798998</v>
      </c>
      <c r="F73" s="2">
        <v>299294</v>
      </c>
    </row>
    <row r="74" spans="2:6" x14ac:dyDescent="0.35">
      <c r="B74" t="s">
        <v>1993</v>
      </c>
      <c r="C74" s="14" t="s">
        <v>38</v>
      </c>
      <c r="D74" s="10">
        <v>45292</v>
      </c>
      <c r="E74" s="2">
        <v>852844</v>
      </c>
      <c r="F74" s="2">
        <v>298297</v>
      </c>
    </row>
    <row r="75" spans="2:6" x14ac:dyDescent="0.35">
      <c r="B75" t="s">
        <v>1993</v>
      </c>
      <c r="C75" s="14" t="s">
        <v>38</v>
      </c>
      <c r="D75" s="10">
        <v>45261</v>
      </c>
      <c r="E75" s="2">
        <v>874347</v>
      </c>
      <c r="F75" s="2">
        <v>260736</v>
      </c>
    </row>
    <row r="76" spans="2:6" x14ac:dyDescent="0.35">
      <c r="B76" t="s">
        <v>1993</v>
      </c>
      <c r="C76" s="14" t="s">
        <v>38</v>
      </c>
      <c r="D76" s="10">
        <v>45231</v>
      </c>
      <c r="E76" s="2">
        <v>857265</v>
      </c>
      <c r="F76" s="2">
        <v>244810</v>
      </c>
    </row>
    <row r="77" spans="2:6" x14ac:dyDescent="0.35">
      <c r="B77" t="s">
        <v>1993</v>
      </c>
      <c r="C77" s="14" t="s">
        <v>38</v>
      </c>
      <c r="D77" s="10">
        <v>45200</v>
      </c>
      <c r="E77" s="2">
        <v>858010</v>
      </c>
      <c r="F77" s="2">
        <v>253871</v>
      </c>
    </row>
    <row r="78" spans="2:6" x14ac:dyDescent="0.35">
      <c r="B78" t="s">
        <v>1993</v>
      </c>
      <c r="C78" s="14" t="s">
        <v>38</v>
      </c>
      <c r="D78" s="10">
        <v>45170</v>
      </c>
      <c r="E78" s="2">
        <v>837703</v>
      </c>
      <c r="F78" s="2">
        <v>252082</v>
      </c>
    </row>
    <row r="79" spans="2:6" x14ac:dyDescent="0.35">
      <c r="B79" t="s">
        <v>1993</v>
      </c>
      <c r="C79" s="14" t="s">
        <v>38</v>
      </c>
      <c r="D79" s="10">
        <v>45139</v>
      </c>
      <c r="E79" s="2">
        <v>868109</v>
      </c>
      <c r="F79" s="2">
        <v>234803</v>
      </c>
    </row>
    <row r="80" spans="2:6" x14ac:dyDescent="0.35">
      <c r="C80" s="13"/>
      <c r="D80" s="11"/>
      <c r="E80" s="2"/>
      <c r="F80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CC0B-8E91-4B2B-B277-6978AC2EA6D3}">
  <sheetPr codeName="Planilha25"/>
  <dimension ref="B1:G12"/>
  <sheetViews>
    <sheetView workbookViewId="0">
      <selection activeCell="C35" sqref="C35"/>
    </sheetView>
  </sheetViews>
  <sheetFormatPr defaultRowHeight="14.5" x14ac:dyDescent="0.35"/>
  <cols>
    <col min="2" max="2" width="14.26953125" bestFit="1" customWidth="1"/>
    <col min="3" max="3" width="11" bestFit="1" customWidth="1"/>
    <col min="4" max="4" width="10.7265625" bestFit="1" customWidth="1"/>
    <col min="5" max="5" width="14.26953125" bestFit="1" customWidth="1"/>
    <col min="6" max="6" width="33.54296875" customWidth="1"/>
    <col min="7" max="8" width="37.1796875" bestFit="1" customWidth="1"/>
  </cols>
  <sheetData>
    <row r="1" spans="2:7" x14ac:dyDescent="0.35">
      <c r="B1" t="s">
        <v>1994</v>
      </c>
      <c r="C1" t="s">
        <v>7</v>
      </c>
      <c r="D1" t="s">
        <v>34</v>
      </c>
      <c r="E1" t="s">
        <v>8</v>
      </c>
      <c r="F1" t="s">
        <v>35</v>
      </c>
      <c r="G1" t="s">
        <v>1987</v>
      </c>
    </row>
    <row r="2" spans="2:7" x14ac:dyDescent="0.35">
      <c r="B2" s="8" t="s">
        <v>1988</v>
      </c>
      <c r="C2" t="s">
        <v>11</v>
      </c>
      <c r="D2" s="8">
        <v>45444</v>
      </c>
      <c r="E2" t="s">
        <v>1988</v>
      </c>
      <c r="F2">
        <v>17968</v>
      </c>
      <c r="G2">
        <v>10999</v>
      </c>
    </row>
    <row r="3" spans="2:7" x14ac:dyDescent="0.35">
      <c r="B3" s="8" t="s">
        <v>1988</v>
      </c>
      <c r="C3" t="s">
        <v>11</v>
      </c>
      <c r="D3" s="8">
        <v>45413</v>
      </c>
      <c r="E3" t="s">
        <v>1988</v>
      </c>
      <c r="F3">
        <v>18738</v>
      </c>
      <c r="G3">
        <v>13422</v>
      </c>
    </row>
    <row r="4" spans="2:7" x14ac:dyDescent="0.35">
      <c r="B4" s="8" t="s">
        <v>1988</v>
      </c>
      <c r="C4" t="s">
        <v>11</v>
      </c>
      <c r="D4" s="8">
        <v>45383</v>
      </c>
      <c r="E4" t="s">
        <v>1988</v>
      </c>
      <c r="F4">
        <v>18598</v>
      </c>
      <c r="G4">
        <v>12767</v>
      </c>
    </row>
    <row r="5" spans="2:7" x14ac:dyDescent="0.35">
      <c r="B5" s="8" t="s">
        <v>1988</v>
      </c>
      <c r="C5" t="s">
        <v>11</v>
      </c>
      <c r="D5" s="8">
        <v>45352</v>
      </c>
      <c r="E5" t="s">
        <v>1988</v>
      </c>
      <c r="F5">
        <v>19922</v>
      </c>
      <c r="G5">
        <v>13035</v>
      </c>
    </row>
    <row r="6" spans="2:7" x14ac:dyDescent="0.35">
      <c r="B6" s="8" t="s">
        <v>1988</v>
      </c>
      <c r="C6" t="s">
        <v>11</v>
      </c>
      <c r="D6" s="8">
        <v>45323</v>
      </c>
      <c r="E6" t="s">
        <v>1988</v>
      </c>
      <c r="F6">
        <v>19802</v>
      </c>
      <c r="G6">
        <v>16851</v>
      </c>
    </row>
    <row r="7" spans="2:7" x14ac:dyDescent="0.35">
      <c r="B7" s="8" t="s">
        <v>1988</v>
      </c>
      <c r="C7" t="s">
        <v>11</v>
      </c>
      <c r="D7" s="8">
        <v>45292</v>
      </c>
      <c r="E7" t="s">
        <v>1988</v>
      </c>
      <c r="F7">
        <v>21070</v>
      </c>
      <c r="G7">
        <v>14496</v>
      </c>
    </row>
    <row r="8" spans="2:7" x14ac:dyDescent="0.35">
      <c r="B8" s="8" t="s">
        <v>1988</v>
      </c>
      <c r="C8" t="s">
        <v>11</v>
      </c>
      <c r="D8" s="8">
        <v>45261</v>
      </c>
      <c r="E8" t="s">
        <v>1988</v>
      </c>
      <c r="F8">
        <v>21481</v>
      </c>
      <c r="G8">
        <v>12518</v>
      </c>
    </row>
    <row r="9" spans="2:7" x14ac:dyDescent="0.35">
      <c r="B9" s="8" t="s">
        <v>1988</v>
      </c>
      <c r="C9" t="s">
        <v>11</v>
      </c>
      <c r="D9" s="8">
        <v>45231</v>
      </c>
      <c r="E9" t="s">
        <v>1988</v>
      </c>
      <c r="F9">
        <v>20598</v>
      </c>
      <c r="G9">
        <v>13952</v>
      </c>
    </row>
    <row r="10" spans="2:7" x14ac:dyDescent="0.35">
      <c r="B10" s="8" t="s">
        <v>1988</v>
      </c>
      <c r="C10" t="s">
        <v>11</v>
      </c>
      <c r="D10" s="8">
        <v>45200</v>
      </c>
      <c r="E10" t="s">
        <v>1988</v>
      </c>
      <c r="F10">
        <v>20301</v>
      </c>
      <c r="G10">
        <v>12263</v>
      </c>
    </row>
    <row r="11" spans="2:7" x14ac:dyDescent="0.35">
      <c r="B11" s="8" t="s">
        <v>1988</v>
      </c>
      <c r="C11" t="s">
        <v>11</v>
      </c>
      <c r="D11" s="8">
        <v>45170</v>
      </c>
      <c r="E11" t="s">
        <v>1988</v>
      </c>
      <c r="F11">
        <v>19079</v>
      </c>
      <c r="G11">
        <v>11726</v>
      </c>
    </row>
    <row r="12" spans="2:7" x14ac:dyDescent="0.35">
      <c r="B12" s="8" t="s">
        <v>1988</v>
      </c>
      <c r="C12" t="s">
        <v>11</v>
      </c>
      <c r="D12" s="8">
        <v>45139</v>
      </c>
      <c r="E12" t="s">
        <v>1988</v>
      </c>
      <c r="F12">
        <v>20342</v>
      </c>
      <c r="G12">
        <v>11661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E6E89-9D0B-46FC-9D2D-567BB46A14E6}">
  <sheetPr codeName="Planilha26"/>
  <dimension ref="A1:F12"/>
  <sheetViews>
    <sheetView workbookViewId="0">
      <selection activeCell="C35" sqref="C35"/>
    </sheetView>
  </sheetViews>
  <sheetFormatPr defaultRowHeight="14.5" x14ac:dyDescent="0.35"/>
  <cols>
    <col min="1" max="1" width="12.26953125" bestFit="1" customWidth="1"/>
    <col min="2" max="2" width="11" bestFit="1" customWidth="1"/>
    <col min="3" max="3" width="10.7265625" bestFit="1" customWidth="1"/>
    <col min="4" max="4" width="11.1796875" bestFit="1" customWidth="1"/>
    <col min="5" max="5" width="33.54296875" customWidth="1"/>
    <col min="6" max="7" width="37.1796875" bestFit="1" customWidth="1"/>
  </cols>
  <sheetData>
    <row r="1" spans="1:6" x14ac:dyDescent="0.35">
      <c r="A1" t="s">
        <v>1994</v>
      </c>
      <c r="B1" t="s">
        <v>7</v>
      </c>
      <c r="C1" t="s">
        <v>34</v>
      </c>
      <c r="D1" t="s">
        <v>8</v>
      </c>
      <c r="E1" t="s">
        <v>35</v>
      </c>
      <c r="F1" t="s">
        <v>1987</v>
      </c>
    </row>
    <row r="2" spans="1:6" x14ac:dyDescent="0.35">
      <c r="A2" s="8" t="s">
        <v>48</v>
      </c>
      <c r="B2" t="s">
        <v>11</v>
      </c>
      <c r="C2" s="8">
        <v>45444</v>
      </c>
      <c r="D2" t="s">
        <v>48</v>
      </c>
      <c r="E2">
        <v>15126</v>
      </c>
      <c r="F2">
        <v>6317</v>
      </c>
    </row>
    <row r="3" spans="1:6" x14ac:dyDescent="0.35">
      <c r="A3" s="8" t="s">
        <v>48</v>
      </c>
      <c r="B3" t="s">
        <v>11</v>
      </c>
      <c r="C3" s="8">
        <v>45413</v>
      </c>
      <c r="D3" t="s">
        <v>48</v>
      </c>
      <c r="E3">
        <v>14923</v>
      </c>
      <c r="F3">
        <v>5564</v>
      </c>
    </row>
    <row r="4" spans="1:6" x14ac:dyDescent="0.35">
      <c r="A4" s="8" t="s">
        <v>48</v>
      </c>
      <c r="B4" t="s">
        <v>11</v>
      </c>
      <c r="C4" s="8">
        <v>45383</v>
      </c>
      <c r="D4" t="s">
        <v>48</v>
      </c>
      <c r="E4">
        <v>16159</v>
      </c>
      <c r="F4">
        <v>6036</v>
      </c>
    </row>
    <row r="5" spans="1:6" x14ac:dyDescent="0.35">
      <c r="A5" s="8" t="s">
        <v>48</v>
      </c>
      <c r="B5" t="s">
        <v>11</v>
      </c>
      <c r="C5" s="8">
        <v>45352</v>
      </c>
      <c r="D5" t="s">
        <v>48</v>
      </c>
      <c r="E5">
        <v>17323</v>
      </c>
      <c r="F5">
        <v>7813</v>
      </c>
    </row>
    <row r="6" spans="1:6" x14ac:dyDescent="0.35">
      <c r="A6" s="8" t="s">
        <v>48</v>
      </c>
      <c r="B6" t="s">
        <v>11</v>
      </c>
      <c r="C6" s="8">
        <v>45323</v>
      </c>
      <c r="D6" t="s">
        <v>48</v>
      </c>
      <c r="E6">
        <v>16349</v>
      </c>
      <c r="F6">
        <v>6062</v>
      </c>
    </row>
    <row r="7" spans="1:6" x14ac:dyDescent="0.35">
      <c r="A7" s="8" t="s">
        <v>48</v>
      </c>
      <c r="B7" t="s">
        <v>11</v>
      </c>
      <c r="C7" s="8">
        <v>45292</v>
      </c>
      <c r="D7" t="s">
        <v>48</v>
      </c>
      <c r="E7">
        <v>15556</v>
      </c>
      <c r="F7">
        <v>6937</v>
      </c>
    </row>
    <row r="8" spans="1:6" x14ac:dyDescent="0.35">
      <c r="A8" s="8" t="s">
        <v>48</v>
      </c>
      <c r="B8" t="s">
        <v>11</v>
      </c>
      <c r="C8" s="8">
        <v>45261</v>
      </c>
      <c r="D8" t="s">
        <v>48</v>
      </c>
      <c r="E8">
        <v>15770</v>
      </c>
      <c r="F8">
        <v>5955</v>
      </c>
    </row>
    <row r="9" spans="1:6" x14ac:dyDescent="0.35">
      <c r="A9" s="8" t="s">
        <v>48</v>
      </c>
      <c r="B9" t="s">
        <v>11</v>
      </c>
      <c r="C9" s="8">
        <v>45231</v>
      </c>
      <c r="D9" t="s">
        <v>48</v>
      </c>
      <c r="E9">
        <v>15100</v>
      </c>
      <c r="F9">
        <v>6114</v>
      </c>
    </row>
    <row r="10" spans="1:6" x14ac:dyDescent="0.35">
      <c r="A10" s="8" t="s">
        <v>48</v>
      </c>
      <c r="B10" t="s">
        <v>11</v>
      </c>
      <c r="C10" s="8">
        <v>45200</v>
      </c>
      <c r="D10" t="s">
        <v>48</v>
      </c>
      <c r="E10">
        <v>16320</v>
      </c>
      <c r="F10">
        <v>5897</v>
      </c>
    </row>
    <row r="11" spans="1:6" x14ac:dyDescent="0.35">
      <c r="A11" s="8" t="s">
        <v>48</v>
      </c>
      <c r="B11" t="s">
        <v>11</v>
      </c>
      <c r="C11" s="8">
        <v>45170</v>
      </c>
      <c r="D11" t="s">
        <v>48</v>
      </c>
      <c r="E11">
        <v>14555</v>
      </c>
      <c r="F11">
        <v>5600</v>
      </c>
    </row>
    <row r="12" spans="1:6" x14ac:dyDescent="0.35">
      <c r="A12" s="8" t="s">
        <v>48</v>
      </c>
      <c r="B12" t="s">
        <v>11</v>
      </c>
      <c r="C12" s="8">
        <v>45139</v>
      </c>
      <c r="D12" t="s">
        <v>48</v>
      </c>
      <c r="E12">
        <v>14696</v>
      </c>
      <c r="F12">
        <v>5019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2648-31F4-4F8B-ACF6-039CBE9F63F0}">
  <sheetPr codeName="Planilha27"/>
  <dimension ref="B1:G12"/>
  <sheetViews>
    <sheetView workbookViewId="0">
      <selection activeCell="C35" sqref="C35"/>
    </sheetView>
  </sheetViews>
  <sheetFormatPr defaultRowHeight="14.5" x14ac:dyDescent="0.35"/>
  <cols>
    <col min="2" max="2" width="12.26953125" bestFit="1" customWidth="1"/>
    <col min="3" max="3" width="11" bestFit="1" customWidth="1"/>
    <col min="4" max="4" width="10.7265625" bestFit="1" customWidth="1"/>
    <col min="5" max="5" width="9.453125" bestFit="1" customWidth="1"/>
    <col min="6" max="6" width="33.54296875" customWidth="1"/>
    <col min="7" max="8" width="37.1796875" bestFit="1" customWidth="1"/>
  </cols>
  <sheetData>
    <row r="1" spans="2:7" x14ac:dyDescent="0.35">
      <c r="B1" t="s">
        <v>1994</v>
      </c>
      <c r="C1" t="s">
        <v>7</v>
      </c>
      <c r="D1" t="s">
        <v>34</v>
      </c>
      <c r="E1" t="s">
        <v>8</v>
      </c>
      <c r="F1" t="s">
        <v>35</v>
      </c>
      <c r="G1" t="s">
        <v>1987</v>
      </c>
    </row>
    <row r="2" spans="2:7" x14ac:dyDescent="0.35">
      <c r="B2" s="8" t="s">
        <v>56</v>
      </c>
      <c r="C2" t="s">
        <v>11</v>
      </c>
      <c r="D2" s="8">
        <v>45444</v>
      </c>
      <c r="E2" t="s">
        <v>56</v>
      </c>
      <c r="F2">
        <v>364729</v>
      </c>
      <c r="G2">
        <v>194558</v>
      </c>
    </row>
    <row r="3" spans="2:7" x14ac:dyDescent="0.35">
      <c r="B3" s="8" t="s">
        <v>56</v>
      </c>
      <c r="C3" t="s">
        <v>11</v>
      </c>
      <c r="D3" s="8">
        <v>45413</v>
      </c>
      <c r="E3" t="s">
        <v>56</v>
      </c>
      <c r="F3">
        <v>378832</v>
      </c>
      <c r="G3">
        <v>218753</v>
      </c>
    </row>
    <row r="4" spans="2:7" x14ac:dyDescent="0.35">
      <c r="B4" s="8" t="s">
        <v>56</v>
      </c>
      <c r="C4" t="s">
        <v>11</v>
      </c>
      <c r="D4" s="8">
        <v>45383</v>
      </c>
      <c r="E4" t="s">
        <v>56</v>
      </c>
      <c r="F4">
        <v>380966</v>
      </c>
      <c r="G4">
        <v>196089</v>
      </c>
    </row>
    <row r="5" spans="2:7" x14ac:dyDescent="0.35">
      <c r="B5" s="8" t="s">
        <v>56</v>
      </c>
      <c r="C5" t="s">
        <v>11</v>
      </c>
      <c r="D5" s="8">
        <v>45352</v>
      </c>
      <c r="E5" t="s">
        <v>56</v>
      </c>
      <c r="F5">
        <v>388890</v>
      </c>
      <c r="G5">
        <v>229935</v>
      </c>
    </row>
    <row r="6" spans="2:7" x14ac:dyDescent="0.35">
      <c r="B6" s="8" t="s">
        <v>56</v>
      </c>
      <c r="C6" t="s">
        <v>11</v>
      </c>
      <c r="D6" s="8">
        <v>45323</v>
      </c>
      <c r="E6" t="s">
        <v>56</v>
      </c>
      <c r="F6">
        <v>376312</v>
      </c>
      <c r="G6">
        <v>237552</v>
      </c>
    </row>
    <row r="7" spans="2:7" x14ac:dyDescent="0.35">
      <c r="B7" s="8" t="s">
        <v>56</v>
      </c>
      <c r="C7" t="s">
        <v>11</v>
      </c>
      <c r="D7" s="8">
        <v>45292</v>
      </c>
      <c r="E7" t="s">
        <v>56</v>
      </c>
      <c r="F7">
        <v>379992</v>
      </c>
      <c r="G7">
        <v>251084</v>
      </c>
    </row>
    <row r="8" spans="2:7" x14ac:dyDescent="0.35">
      <c r="B8" s="8" t="s">
        <v>56</v>
      </c>
      <c r="C8" t="s">
        <v>11</v>
      </c>
      <c r="D8" s="8">
        <v>45261</v>
      </c>
      <c r="E8" t="s">
        <v>56</v>
      </c>
      <c r="F8">
        <v>391644</v>
      </c>
      <c r="G8">
        <v>203075</v>
      </c>
    </row>
    <row r="9" spans="2:7" x14ac:dyDescent="0.35">
      <c r="B9" s="8" t="s">
        <v>56</v>
      </c>
      <c r="C9" t="s">
        <v>11</v>
      </c>
      <c r="D9" s="8">
        <v>45231</v>
      </c>
      <c r="E9" t="s">
        <v>56</v>
      </c>
      <c r="F9">
        <v>381869</v>
      </c>
      <c r="G9">
        <v>216199</v>
      </c>
    </row>
    <row r="10" spans="2:7" x14ac:dyDescent="0.35">
      <c r="B10" s="8" t="s">
        <v>56</v>
      </c>
      <c r="C10" t="s">
        <v>11</v>
      </c>
      <c r="D10" s="8">
        <v>45200</v>
      </c>
      <c r="E10" t="s">
        <v>56</v>
      </c>
      <c r="F10">
        <v>371795</v>
      </c>
      <c r="G10">
        <v>197526</v>
      </c>
    </row>
    <row r="11" spans="2:7" x14ac:dyDescent="0.35">
      <c r="B11" s="8" t="s">
        <v>56</v>
      </c>
      <c r="C11" t="s">
        <v>11</v>
      </c>
      <c r="D11" s="8">
        <v>45170</v>
      </c>
      <c r="E11" t="s">
        <v>56</v>
      </c>
      <c r="F11">
        <v>357002</v>
      </c>
      <c r="G11">
        <v>205857</v>
      </c>
    </row>
    <row r="12" spans="2:7" x14ac:dyDescent="0.35">
      <c r="B12" s="8" t="s">
        <v>56</v>
      </c>
      <c r="C12" t="s">
        <v>11</v>
      </c>
      <c r="D12" s="8">
        <v>45139</v>
      </c>
      <c r="E12" t="s">
        <v>56</v>
      </c>
      <c r="F12">
        <v>375768</v>
      </c>
      <c r="G12">
        <v>181324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E5FED-2C9A-49DD-8A5D-31B448BD0707}">
  <sheetPr codeName="Planilha28"/>
  <dimension ref="A1:F12"/>
  <sheetViews>
    <sheetView workbookViewId="0">
      <selection activeCell="C35" sqref="C35"/>
    </sheetView>
  </sheetViews>
  <sheetFormatPr defaultRowHeight="14.5" x14ac:dyDescent="0.35"/>
  <cols>
    <col min="1" max="1" width="12.26953125" bestFit="1" customWidth="1"/>
    <col min="2" max="2" width="11" bestFit="1" customWidth="1"/>
    <col min="3" max="3" width="10.7265625" bestFit="1" customWidth="1"/>
    <col min="4" max="4" width="9.453125" bestFit="1" customWidth="1"/>
    <col min="5" max="5" width="33.54296875" customWidth="1"/>
    <col min="6" max="7" width="37.1796875" bestFit="1" customWidth="1"/>
  </cols>
  <sheetData>
    <row r="1" spans="1:6" x14ac:dyDescent="0.35">
      <c r="A1" t="s">
        <v>1994</v>
      </c>
      <c r="B1" t="s">
        <v>7</v>
      </c>
      <c r="C1" t="s">
        <v>34</v>
      </c>
      <c r="D1" t="s">
        <v>8</v>
      </c>
      <c r="E1" t="s">
        <v>35</v>
      </c>
      <c r="F1" t="s">
        <v>1987</v>
      </c>
    </row>
    <row r="2" spans="1:6" x14ac:dyDescent="0.35">
      <c r="A2" s="8" t="s">
        <v>51</v>
      </c>
      <c r="B2" t="s">
        <v>11</v>
      </c>
      <c r="C2" s="8">
        <v>45444</v>
      </c>
      <c r="D2" t="s">
        <v>51</v>
      </c>
      <c r="E2">
        <v>235612</v>
      </c>
      <c r="F2">
        <v>83545</v>
      </c>
    </row>
    <row r="3" spans="1:6" x14ac:dyDescent="0.35">
      <c r="A3" s="8" t="s">
        <v>51</v>
      </c>
      <c r="B3" t="s">
        <v>11</v>
      </c>
      <c r="C3" s="8">
        <v>45413</v>
      </c>
      <c r="D3" t="s">
        <v>51</v>
      </c>
      <c r="E3">
        <v>237885</v>
      </c>
      <c r="F3">
        <v>93179</v>
      </c>
    </row>
    <row r="4" spans="1:6" x14ac:dyDescent="0.35">
      <c r="A4" s="8" t="s">
        <v>51</v>
      </c>
      <c r="B4" t="s">
        <v>11</v>
      </c>
      <c r="C4" s="8">
        <v>45383</v>
      </c>
      <c r="D4" t="s">
        <v>51</v>
      </c>
      <c r="E4">
        <v>228841</v>
      </c>
      <c r="F4">
        <v>86883</v>
      </c>
    </row>
    <row r="5" spans="1:6" x14ac:dyDescent="0.35">
      <c r="A5" s="8" t="s">
        <v>51</v>
      </c>
      <c r="B5" t="s">
        <v>11</v>
      </c>
      <c r="C5" s="8">
        <v>45352</v>
      </c>
      <c r="D5" t="s">
        <v>51</v>
      </c>
      <c r="E5">
        <v>237306</v>
      </c>
      <c r="F5">
        <v>93232</v>
      </c>
    </row>
    <row r="6" spans="1:6" x14ac:dyDescent="0.35">
      <c r="A6" s="8" t="s">
        <v>51</v>
      </c>
      <c r="B6" t="s">
        <v>11</v>
      </c>
      <c r="C6" s="8">
        <v>45323</v>
      </c>
      <c r="D6" t="s">
        <v>51</v>
      </c>
      <c r="E6">
        <v>216261</v>
      </c>
      <c r="F6">
        <v>106261</v>
      </c>
    </row>
    <row r="7" spans="1:6" x14ac:dyDescent="0.35">
      <c r="A7" s="8" t="s">
        <v>51</v>
      </c>
      <c r="B7" t="s">
        <v>11</v>
      </c>
      <c r="C7" s="8">
        <v>45292</v>
      </c>
      <c r="D7" t="s">
        <v>51</v>
      </c>
      <c r="E7">
        <v>226523</v>
      </c>
      <c r="F7">
        <v>105146</v>
      </c>
    </row>
    <row r="8" spans="1:6" x14ac:dyDescent="0.35">
      <c r="A8" s="8" t="s">
        <v>51</v>
      </c>
      <c r="B8" t="s">
        <v>11</v>
      </c>
      <c r="C8" s="8">
        <v>45261</v>
      </c>
      <c r="D8" t="s">
        <v>51</v>
      </c>
      <c r="E8">
        <v>235954</v>
      </c>
      <c r="F8">
        <v>89695</v>
      </c>
    </row>
    <row r="9" spans="1:6" x14ac:dyDescent="0.35">
      <c r="A9" s="8" t="s">
        <v>51</v>
      </c>
      <c r="B9" t="s">
        <v>11</v>
      </c>
      <c r="C9" s="8">
        <v>45231</v>
      </c>
      <c r="D9" t="s">
        <v>51</v>
      </c>
      <c r="E9">
        <v>233237</v>
      </c>
      <c r="F9">
        <v>92167</v>
      </c>
    </row>
    <row r="10" spans="1:6" x14ac:dyDescent="0.35">
      <c r="A10" s="8" t="s">
        <v>51</v>
      </c>
      <c r="B10" t="s">
        <v>11</v>
      </c>
      <c r="C10" s="8">
        <v>45200</v>
      </c>
      <c r="D10" t="s">
        <v>51</v>
      </c>
      <c r="E10">
        <v>230373</v>
      </c>
      <c r="F10">
        <v>84913</v>
      </c>
    </row>
    <row r="11" spans="1:6" x14ac:dyDescent="0.35">
      <c r="A11" s="8" t="s">
        <v>51</v>
      </c>
      <c r="B11" t="s">
        <v>11</v>
      </c>
      <c r="C11" s="8">
        <v>45170</v>
      </c>
      <c r="D11" t="s">
        <v>51</v>
      </c>
      <c r="E11">
        <v>220771</v>
      </c>
      <c r="F11">
        <v>87186</v>
      </c>
    </row>
    <row r="12" spans="1:6" x14ac:dyDescent="0.35">
      <c r="A12" s="8" t="s">
        <v>51</v>
      </c>
      <c r="B12" t="s">
        <v>11</v>
      </c>
      <c r="C12" s="8">
        <v>45139</v>
      </c>
      <c r="D12" t="s">
        <v>51</v>
      </c>
      <c r="E12">
        <v>227726</v>
      </c>
      <c r="F12">
        <v>81488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F6E86-CB2F-4D58-8995-D8641FEEA62A}">
  <sheetPr codeName="Planilha29"/>
  <dimension ref="A1:F12"/>
  <sheetViews>
    <sheetView workbookViewId="0">
      <selection activeCell="C35" sqref="C35"/>
    </sheetView>
  </sheetViews>
  <sheetFormatPr defaultRowHeight="14.5" x14ac:dyDescent="0.35"/>
  <cols>
    <col min="1" max="1" width="13.26953125" bestFit="1" customWidth="1"/>
    <col min="2" max="2" width="11" bestFit="1" customWidth="1"/>
    <col min="3" max="3" width="10.7265625" bestFit="1" customWidth="1"/>
    <col min="4" max="4" width="13.26953125" bestFit="1" customWidth="1"/>
    <col min="5" max="5" width="33.54296875" customWidth="1"/>
    <col min="6" max="7" width="37.1796875" bestFit="1" customWidth="1"/>
  </cols>
  <sheetData>
    <row r="1" spans="1:6" x14ac:dyDescent="0.35">
      <c r="A1" t="s">
        <v>1994</v>
      </c>
      <c r="B1" t="s">
        <v>7</v>
      </c>
      <c r="C1" t="s">
        <v>34</v>
      </c>
      <c r="D1" t="s">
        <v>8</v>
      </c>
      <c r="E1" t="s">
        <v>35</v>
      </c>
      <c r="F1" t="s">
        <v>1987</v>
      </c>
    </row>
    <row r="2" spans="1:6" x14ac:dyDescent="0.35">
      <c r="A2" s="8" t="s">
        <v>49</v>
      </c>
      <c r="B2" t="s">
        <v>11</v>
      </c>
      <c r="C2" s="8">
        <v>45444</v>
      </c>
      <c r="D2" t="s">
        <v>49</v>
      </c>
      <c r="E2">
        <v>34831</v>
      </c>
      <c r="F2">
        <v>18833</v>
      </c>
    </row>
    <row r="3" spans="1:6" x14ac:dyDescent="0.35">
      <c r="A3" s="8" t="s">
        <v>49</v>
      </c>
      <c r="B3" t="s">
        <v>11</v>
      </c>
      <c r="C3" s="8">
        <v>45413</v>
      </c>
      <c r="D3" t="s">
        <v>49</v>
      </c>
      <c r="E3">
        <v>37948</v>
      </c>
      <c r="F3">
        <v>21522</v>
      </c>
    </row>
    <row r="4" spans="1:6" x14ac:dyDescent="0.35">
      <c r="A4" s="8" t="s">
        <v>49</v>
      </c>
      <c r="B4" t="s">
        <v>11</v>
      </c>
      <c r="C4" s="8">
        <v>45383</v>
      </c>
      <c r="D4" t="s">
        <v>49</v>
      </c>
      <c r="E4">
        <v>36401</v>
      </c>
      <c r="F4">
        <v>19357</v>
      </c>
    </row>
    <row r="5" spans="1:6" x14ac:dyDescent="0.35">
      <c r="A5" s="8" t="s">
        <v>49</v>
      </c>
      <c r="B5" t="s">
        <v>11</v>
      </c>
      <c r="C5" s="8">
        <v>45352</v>
      </c>
      <c r="D5" t="s">
        <v>49</v>
      </c>
      <c r="E5">
        <v>37918</v>
      </c>
      <c r="F5">
        <v>21817</v>
      </c>
    </row>
    <row r="6" spans="1:6" x14ac:dyDescent="0.35">
      <c r="A6" s="8" t="s">
        <v>49</v>
      </c>
      <c r="B6" t="s">
        <v>11</v>
      </c>
      <c r="C6" s="8">
        <v>45323</v>
      </c>
      <c r="D6" t="s">
        <v>49</v>
      </c>
      <c r="E6">
        <v>36376</v>
      </c>
      <c r="F6">
        <v>24251</v>
      </c>
    </row>
    <row r="7" spans="1:6" x14ac:dyDescent="0.35">
      <c r="A7" s="8" t="s">
        <v>49</v>
      </c>
      <c r="B7" t="s">
        <v>11</v>
      </c>
      <c r="C7" s="8">
        <v>45292</v>
      </c>
      <c r="D7" t="s">
        <v>49</v>
      </c>
      <c r="E7">
        <v>37786</v>
      </c>
      <c r="F7">
        <v>22672</v>
      </c>
    </row>
    <row r="8" spans="1:6" x14ac:dyDescent="0.35">
      <c r="A8" s="8" t="s">
        <v>49</v>
      </c>
      <c r="B8" t="s">
        <v>11</v>
      </c>
      <c r="C8" s="8">
        <v>45261</v>
      </c>
      <c r="D8" t="s">
        <v>49</v>
      </c>
      <c r="E8">
        <v>37160</v>
      </c>
      <c r="F8">
        <v>21133</v>
      </c>
    </row>
    <row r="9" spans="1:6" x14ac:dyDescent="0.35">
      <c r="A9" s="8" t="s">
        <v>49</v>
      </c>
      <c r="B9" t="s">
        <v>11</v>
      </c>
      <c r="C9" s="8">
        <v>45231</v>
      </c>
      <c r="D9" t="s">
        <v>49</v>
      </c>
      <c r="E9">
        <v>34763</v>
      </c>
      <c r="F9">
        <v>19987</v>
      </c>
    </row>
    <row r="10" spans="1:6" x14ac:dyDescent="0.35">
      <c r="A10" s="8" t="s">
        <v>49</v>
      </c>
      <c r="B10" t="s">
        <v>11</v>
      </c>
      <c r="C10" s="8">
        <v>45200</v>
      </c>
      <c r="D10" t="s">
        <v>49</v>
      </c>
      <c r="E10">
        <v>33386</v>
      </c>
      <c r="F10">
        <v>19262</v>
      </c>
    </row>
    <row r="11" spans="1:6" x14ac:dyDescent="0.35">
      <c r="A11" s="8" t="s">
        <v>49</v>
      </c>
      <c r="B11" t="s">
        <v>11</v>
      </c>
      <c r="C11" s="8">
        <v>45170</v>
      </c>
      <c r="D11" t="s">
        <v>49</v>
      </c>
      <c r="E11">
        <v>30804</v>
      </c>
      <c r="F11">
        <v>19955</v>
      </c>
    </row>
    <row r="12" spans="1:6" x14ac:dyDescent="0.35">
      <c r="A12" s="8" t="s">
        <v>49</v>
      </c>
      <c r="B12" t="s">
        <v>11</v>
      </c>
      <c r="C12" s="8">
        <v>45139</v>
      </c>
      <c r="D12" t="s">
        <v>49</v>
      </c>
      <c r="E12">
        <v>31930</v>
      </c>
      <c r="F12">
        <v>17945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2B7B-8D34-4132-9971-DC91669B1A2D}">
  <sheetPr codeName="Planilha30"/>
  <dimension ref="A1:F12"/>
  <sheetViews>
    <sheetView workbookViewId="0">
      <selection activeCell="C35" sqref="C35"/>
    </sheetView>
  </sheetViews>
  <sheetFormatPr defaultRowHeight="14.5" x14ac:dyDescent="0.35"/>
  <cols>
    <col min="1" max="1" width="12.26953125" bestFit="1" customWidth="1"/>
    <col min="2" max="2" width="11" bestFit="1" customWidth="1"/>
    <col min="3" max="3" width="10.7265625" bestFit="1" customWidth="1"/>
    <col min="4" max="4" width="9.453125" bestFit="1" customWidth="1"/>
    <col min="5" max="5" width="33.54296875" customWidth="1"/>
    <col min="6" max="7" width="37.1796875" bestFit="1" customWidth="1"/>
  </cols>
  <sheetData>
    <row r="1" spans="1:6" x14ac:dyDescent="0.35">
      <c r="A1" t="s">
        <v>1994</v>
      </c>
      <c r="B1" t="s">
        <v>7</v>
      </c>
      <c r="C1" t="s">
        <v>34</v>
      </c>
      <c r="D1" t="s">
        <v>8</v>
      </c>
      <c r="E1" t="s">
        <v>35</v>
      </c>
      <c r="F1" t="s">
        <v>1987</v>
      </c>
    </row>
    <row r="2" spans="1:6" x14ac:dyDescent="0.35">
      <c r="A2" s="8" t="s">
        <v>45</v>
      </c>
      <c r="B2" t="s">
        <v>11</v>
      </c>
      <c r="C2" s="8">
        <v>45444</v>
      </c>
      <c r="D2" t="s">
        <v>45</v>
      </c>
      <c r="E2">
        <v>355098</v>
      </c>
      <c r="F2">
        <v>115995</v>
      </c>
    </row>
    <row r="3" spans="1:6" x14ac:dyDescent="0.35">
      <c r="A3" s="8" t="s">
        <v>45</v>
      </c>
      <c r="B3" t="s">
        <v>11</v>
      </c>
      <c r="C3" s="8">
        <v>45413</v>
      </c>
      <c r="D3" t="s">
        <v>45</v>
      </c>
      <c r="E3">
        <v>359014</v>
      </c>
      <c r="F3">
        <v>133315</v>
      </c>
    </row>
    <row r="4" spans="1:6" x14ac:dyDescent="0.35">
      <c r="A4" s="8" t="s">
        <v>45</v>
      </c>
      <c r="B4" t="s">
        <v>11</v>
      </c>
      <c r="C4" s="8">
        <v>45383</v>
      </c>
      <c r="D4" t="s">
        <v>45</v>
      </c>
      <c r="E4">
        <v>343149</v>
      </c>
      <c r="F4">
        <v>124336</v>
      </c>
    </row>
    <row r="5" spans="1:6" x14ac:dyDescent="0.35">
      <c r="A5" s="8" t="s">
        <v>45</v>
      </c>
      <c r="B5" t="s">
        <v>11</v>
      </c>
      <c r="C5" s="8">
        <v>45352</v>
      </c>
      <c r="D5" t="s">
        <v>45</v>
      </c>
      <c r="E5">
        <v>353321</v>
      </c>
      <c r="F5">
        <v>137750</v>
      </c>
    </row>
    <row r="6" spans="1:6" x14ac:dyDescent="0.35">
      <c r="A6" s="8" t="s">
        <v>45</v>
      </c>
      <c r="B6" t="s">
        <v>11</v>
      </c>
      <c r="C6" s="8">
        <v>45323</v>
      </c>
      <c r="D6" t="s">
        <v>45</v>
      </c>
      <c r="E6">
        <v>340311</v>
      </c>
      <c r="F6">
        <v>149700</v>
      </c>
    </row>
    <row r="7" spans="1:6" x14ac:dyDescent="0.35">
      <c r="A7" s="8" t="s">
        <v>45</v>
      </c>
      <c r="B7" t="s">
        <v>11</v>
      </c>
      <c r="C7" s="8">
        <v>45292</v>
      </c>
      <c r="D7" t="s">
        <v>45</v>
      </c>
      <c r="E7">
        <v>354957</v>
      </c>
      <c r="F7">
        <v>155187</v>
      </c>
    </row>
    <row r="8" spans="1:6" x14ac:dyDescent="0.35">
      <c r="A8" s="8" t="s">
        <v>45</v>
      </c>
      <c r="B8" t="s">
        <v>11</v>
      </c>
      <c r="C8" s="8">
        <v>45261</v>
      </c>
      <c r="D8" t="s">
        <v>45</v>
      </c>
      <c r="E8">
        <v>359323</v>
      </c>
      <c r="F8">
        <v>128978</v>
      </c>
    </row>
    <row r="9" spans="1:6" x14ac:dyDescent="0.35">
      <c r="A9" s="8" t="s">
        <v>45</v>
      </c>
      <c r="B9" t="s">
        <v>11</v>
      </c>
      <c r="C9" s="8">
        <v>45231</v>
      </c>
      <c r="D9" t="s">
        <v>45</v>
      </c>
      <c r="E9">
        <v>327020</v>
      </c>
      <c r="F9">
        <v>125421</v>
      </c>
    </row>
    <row r="10" spans="1:6" x14ac:dyDescent="0.35">
      <c r="A10" s="8" t="s">
        <v>45</v>
      </c>
      <c r="B10" t="s">
        <v>11</v>
      </c>
      <c r="C10" s="8">
        <v>45200</v>
      </c>
      <c r="D10" t="s">
        <v>45</v>
      </c>
      <c r="E10">
        <v>355400</v>
      </c>
      <c r="F10">
        <v>123942</v>
      </c>
    </row>
    <row r="11" spans="1:6" x14ac:dyDescent="0.35">
      <c r="A11" s="8" t="s">
        <v>45</v>
      </c>
      <c r="B11" t="s">
        <v>11</v>
      </c>
      <c r="C11" s="8">
        <v>45170</v>
      </c>
      <c r="D11" t="s">
        <v>45</v>
      </c>
      <c r="E11">
        <v>366341</v>
      </c>
      <c r="F11">
        <v>124177</v>
      </c>
    </row>
    <row r="12" spans="1:6" x14ac:dyDescent="0.35">
      <c r="A12" s="8" t="s">
        <v>45</v>
      </c>
      <c r="B12" t="s">
        <v>11</v>
      </c>
      <c r="C12" s="8">
        <v>45139</v>
      </c>
      <c r="D12" t="s">
        <v>45</v>
      </c>
      <c r="E12">
        <v>387725</v>
      </c>
      <c r="F12">
        <v>118170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8AA12-6624-4429-BB28-A4408513FB94}">
  <sheetPr codeName="Planilha31"/>
  <dimension ref="A1:F12"/>
  <sheetViews>
    <sheetView workbookViewId="0">
      <selection activeCell="C35" sqref="C35"/>
    </sheetView>
  </sheetViews>
  <sheetFormatPr defaultRowHeight="14.5" x14ac:dyDescent="0.35"/>
  <cols>
    <col min="1" max="1" width="12.26953125" bestFit="1" customWidth="1"/>
    <col min="2" max="2" width="11" bestFit="1" customWidth="1"/>
    <col min="3" max="3" width="10.7265625" bestFit="1" customWidth="1"/>
    <col min="4" max="4" width="9.453125" bestFit="1" customWidth="1"/>
    <col min="5" max="5" width="33.54296875" customWidth="1"/>
    <col min="6" max="7" width="37.1796875" bestFit="1" customWidth="1"/>
  </cols>
  <sheetData>
    <row r="1" spans="1:6" x14ac:dyDescent="0.35">
      <c r="A1" t="s">
        <v>1994</v>
      </c>
      <c r="B1" t="s">
        <v>7</v>
      </c>
      <c r="C1" t="s">
        <v>34</v>
      </c>
      <c r="D1" t="s">
        <v>8</v>
      </c>
      <c r="E1" t="s">
        <v>35</v>
      </c>
      <c r="F1" t="s">
        <v>1987</v>
      </c>
    </row>
    <row r="2" spans="1:6" x14ac:dyDescent="0.35">
      <c r="A2" s="8" t="s">
        <v>38</v>
      </c>
      <c r="B2" t="s">
        <v>11</v>
      </c>
      <c r="C2" s="8">
        <v>45444</v>
      </c>
      <c r="D2" t="s">
        <v>38</v>
      </c>
      <c r="E2">
        <v>766641</v>
      </c>
      <c r="F2">
        <v>267624</v>
      </c>
    </row>
    <row r="3" spans="1:6" x14ac:dyDescent="0.35">
      <c r="A3" s="8" t="s">
        <v>38</v>
      </c>
      <c r="B3" t="s">
        <v>11</v>
      </c>
      <c r="C3" s="8">
        <v>45413</v>
      </c>
      <c r="D3" t="s">
        <v>38</v>
      </c>
      <c r="E3">
        <v>777985</v>
      </c>
      <c r="F3">
        <v>277650</v>
      </c>
    </row>
    <row r="4" spans="1:6" x14ac:dyDescent="0.35">
      <c r="A4" s="8" t="s">
        <v>38</v>
      </c>
      <c r="B4" t="s">
        <v>11</v>
      </c>
      <c r="C4" s="8">
        <v>45383</v>
      </c>
      <c r="D4" t="s">
        <v>38</v>
      </c>
      <c r="E4">
        <v>750075</v>
      </c>
      <c r="F4">
        <v>258576</v>
      </c>
    </row>
    <row r="5" spans="1:6" x14ac:dyDescent="0.35">
      <c r="A5" s="8" t="s">
        <v>38</v>
      </c>
      <c r="B5" t="s">
        <v>11</v>
      </c>
      <c r="C5" s="8">
        <v>45352</v>
      </c>
      <c r="D5" t="s">
        <v>38</v>
      </c>
      <c r="E5">
        <v>821754</v>
      </c>
      <c r="F5">
        <v>294713</v>
      </c>
    </row>
    <row r="6" spans="1:6" x14ac:dyDescent="0.35">
      <c r="A6" s="8" t="s">
        <v>38</v>
      </c>
      <c r="B6" t="s">
        <v>11</v>
      </c>
      <c r="C6" s="8">
        <v>45323</v>
      </c>
      <c r="D6" t="s">
        <v>38</v>
      </c>
      <c r="E6">
        <v>798998</v>
      </c>
      <c r="F6">
        <v>299294</v>
      </c>
    </row>
    <row r="7" spans="1:6" x14ac:dyDescent="0.35">
      <c r="A7" s="8" t="s">
        <v>38</v>
      </c>
      <c r="B7" t="s">
        <v>11</v>
      </c>
      <c r="C7" s="8">
        <v>45292</v>
      </c>
      <c r="D7" t="s">
        <v>38</v>
      </c>
      <c r="E7">
        <v>852844</v>
      </c>
      <c r="F7">
        <v>298297</v>
      </c>
    </row>
    <row r="8" spans="1:6" x14ac:dyDescent="0.35">
      <c r="A8" s="8" t="s">
        <v>38</v>
      </c>
      <c r="B8" t="s">
        <v>11</v>
      </c>
      <c r="C8" s="8">
        <v>45261</v>
      </c>
      <c r="D8" t="s">
        <v>38</v>
      </c>
      <c r="E8">
        <v>874347</v>
      </c>
      <c r="F8">
        <v>260736</v>
      </c>
    </row>
    <row r="9" spans="1:6" x14ac:dyDescent="0.35">
      <c r="A9" s="8" t="s">
        <v>38</v>
      </c>
      <c r="B9" t="s">
        <v>11</v>
      </c>
      <c r="C9" s="8">
        <v>45231</v>
      </c>
      <c r="D9" t="s">
        <v>38</v>
      </c>
      <c r="E9">
        <v>857265</v>
      </c>
      <c r="F9">
        <v>244810</v>
      </c>
    </row>
    <row r="10" spans="1:6" x14ac:dyDescent="0.35">
      <c r="A10" s="8" t="s">
        <v>38</v>
      </c>
      <c r="B10" t="s">
        <v>11</v>
      </c>
      <c r="C10" s="8">
        <v>45200</v>
      </c>
      <c r="D10" t="s">
        <v>38</v>
      </c>
      <c r="E10">
        <v>858010</v>
      </c>
      <c r="F10">
        <v>253871</v>
      </c>
    </row>
    <row r="11" spans="1:6" x14ac:dyDescent="0.35">
      <c r="A11" s="8" t="s">
        <v>38</v>
      </c>
      <c r="B11" t="s">
        <v>11</v>
      </c>
      <c r="C11" s="8">
        <v>45170</v>
      </c>
      <c r="D11" t="s">
        <v>38</v>
      </c>
      <c r="E11">
        <v>837703</v>
      </c>
      <c r="F11">
        <v>252082</v>
      </c>
    </row>
    <row r="12" spans="1:6" x14ac:dyDescent="0.35">
      <c r="A12" s="8" t="s">
        <v>38</v>
      </c>
      <c r="B12" t="s">
        <v>11</v>
      </c>
      <c r="C12" s="8">
        <v>45139</v>
      </c>
      <c r="D12" t="s">
        <v>38</v>
      </c>
      <c r="E12">
        <v>868109</v>
      </c>
      <c r="F12">
        <v>234803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2"/>
  <dimension ref="A4:E24"/>
  <sheetViews>
    <sheetView workbookViewId="0">
      <selection activeCell="E20" sqref="E20"/>
    </sheetView>
  </sheetViews>
  <sheetFormatPr defaultRowHeight="14.5" x14ac:dyDescent="0.35"/>
  <cols>
    <col min="1" max="1" width="17.26953125" bestFit="1" customWidth="1"/>
    <col min="2" max="2" width="34.453125" bestFit="1" customWidth="1"/>
    <col min="3" max="3" width="30.453125" bestFit="1" customWidth="1"/>
    <col min="4" max="4" width="17.26953125" bestFit="1" customWidth="1"/>
    <col min="5" max="5" width="22.453125" bestFit="1" customWidth="1"/>
    <col min="6" max="6" width="36" customWidth="1"/>
    <col min="7" max="7" width="31.81640625" customWidth="1"/>
    <col min="8" max="8" width="18.1796875" customWidth="1"/>
    <col min="9" max="9" width="17.26953125" customWidth="1"/>
    <col min="10" max="10" width="36" customWidth="1"/>
    <col min="11" max="11" width="31.81640625" customWidth="1"/>
    <col min="12" max="12" width="18.1796875" customWidth="1"/>
    <col min="13" max="13" width="17.26953125" customWidth="1"/>
    <col min="14" max="14" width="36" bestFit="1" customWidth="1"/>
    <col min="15" max="15" width="31.81640625" bestFit="1" customWidth="1"/>
    <col min="16" max="16" width="18.1796875" customWidth="1"/>
    <col min="17" max="17" width="17.26953125" customWidth="1"/>
    <col min="18" max="18" width="41" bestFit="1" customWidth="1"/>
    <col min="19" max="19" width="36.81640625" bestFit="1" customWidth="1"/>
    <col min="20" max="20" width="23.1796875" bestFit="1" customWidth="1"/>
    <col min="21" max="21" width="22.26953125" bestFit="1" customWidth="1"/>
  </cols>
  <sheetData>
    <row r="4" spans="1:5" x14ac:dyDescent="0.35">
      <c r="A4" s="4" t="s">
        <v>1995</v>
      </c>
      <c r="B4" t="s">
        <v>1996</v>
      </c>
      <c r="C4" t="s">
        <v>1997</v>
      </c>
      <c r="D4" t="s">
        <v>1998</v>
      </c>
      <c r="E4" t="s">
        <v>1999</v>
      </c>
    </row>
    <row r="5" spans="1:5" x14ac:dyDescent="0.35">
      <c r="A5" s="5" t="s">
        <v>2000</v>
      </c>
      <c r="B5" s="2"/>
      <c r="C5" s="2"/>
      <c r="D5" s="2"/>
      <c r="E5" s="7"/>
    </row>
    <row r="6" spans="1:5" x14ac:dyDescent="0.35">
      <c r="A6" s="6" t="s">
        <v>2001</v>
      </c>
      <c r="B6" s="2">
        <v>1920811</v>
      </c>
      <c r="C6" s="2">
        <v>863913</v>
      </c>
      <c r="D6" s="2">
        <v>1056898</v>
      </c>
      <c r="E6" s="7">
        <v>0.55023529123896109</v>
      </c>
    </row>
    <row r="7" spans="1:5" x14ac:dyDescent="0.35">
      <c r="A7" s="6" t="s">
        <v>2002</v>
      </c>
      <c r="B7" s="2">
        <v>1725021</v>
      </c>
      <c r="C7" s="2">
        <v>821970</v>
      </c>
      <c r="D7" s="2">
        <v>903051</v>
      </c>
      <c r="E7" s="7">
        <v>0.52350145302578921</v>
      </c>
    </row>
    <row r="8" spans="1:5" x14ac:dyDescent="0.35">
      <c r="A8" s="6" t="s">
        <v>2003</v>
      </c>
      <c r="B8" s="2">
        <v>1904537</v>
      </c>
      <c r="C8" s="2">
        <v>749317</v>
      </c>
      <c r="D8" s="2">
        <v>1155220</v>
      </c>
      <c r="E8" s="7">
        <v>0.60656211982229802</v>
      </c>
    </row>
    <row r="9" spans="1:5" x14ac:dyDescent="0.35">
      <c r="A9" s="6" t="s">
        <v>2004</v>
      </c>
      <c r="B9" s="2">
        <v>1830204</v>
      </c>
      <c r="C9" s="2">
        <v>787826</v>
      </c>
      <c r="D9" s="2">
        <v>1042378</v>
      </c>
      <c r="E9" s="7">
        <v>0.56954197455584188</v>
      </c>
    </row>
    <row r="10" spans="1:5" x14ac:dyDescent="0.35">
      <c r="A10" s="6" t="s">
        <v>2005</v>
      </c>
      <c r="B10" s="2">
        <v>1861912</v>
      </c>
      <c r="C10" s="2">
        <v>682921</v>
      </c>
      <c r="D10" s="2">
        <v>1178991</v>
      </c>
      <c r="E10" s="7">
        <v>0.6332152110303817</v>
      </c>
    </row>
    <row r="11" spans="1:5" x14ac:dyDescent="0.35">
      <c r="A11" s="6" t="s">
        <v>2006</v>
      </c>
      <c r="B11" s="2">
        <v>1851418</v>
      </c>
      <c r="C11" s="2">
        <v>718842</v>
      </c>
      <c r="D11" s="2">
        <v>1132576</v>
      </c>
      <c r="E11" s="7">
        <v>0.61173435712518731</v>
      </c>
    </row>
    <row r="12" spans="1:5" x14ac:dyDescent="0.35">
      <c r="A12" s="6" t="s">
        <v>2007</v>
      </c>
      <c r="B12" s="2">
        <v>1889039</v>
      </c>
      <c r="C12" s="2">
        <v>662130</v>
      </c>
      <c r="D12" s="2">
        <v>1226909</v>
      </c>
      <c r="E12" s="7">
        <v>0.64948844359486491</v>
      </c>
    </row>
    <row r="13" spans="1:5" x14ac:dyDescent="0.35">
      <c r="A13" s="6" t="s">
        <v>2008</v>
      </c>
      <c r="B13" s="2">
        <v>1926296</v>
      </c>
      <c r="C13" s="2">
        <v>646645</v>
      </c>
      <c r="D13" s="2">
        <v>1279651</v>
      </c>
      <c r="E13" s="7">
        <v>0.66430652402330692</v>
      </c>
    </row>
    <row r="14" spans="1:5" x14ac:dyDescent="0.35">
      <c r="A14" s="6" t="s">
        <v>2009</v>
      </c>
      <c r="B14" s="2">
        <v>1846255</v>
      </c>
      <c r="C14" s="2">
        <v>711763</v>
      </c>
      <c r="D14" s="2">
        <v>1134492</v>
      </c>
      <c r="E14" s="7">
        <v>0.61448283146152616</v>
      </c>
    </row>
    <row r="15" spans="1:5" x14ac:dyDescent="0.35">
      <c r="A15" s="6" t="s">
        <v>2010</v>
      </c>
      <c r="B15" s="2">
        <v>1885585</v>
      </c>
      <c r="C15" s="2">
        <v>693493</v>
      </c>
      <c r="D15" s="2">
        <v>1192092</v>
      </c>
      <c r="E15" s="7">
        <v>0.63221334493008796</v>
      </c>
    </row>
    <row r="16" spans="1:5" x14ac:dyDescent="0.35">
      <c r="A16" s="6" t="s">
        <v>2011</v>
      </c>
      <c r="B16" s="2">
        <v>1869852</v>
      </c>
      <c r="C16" s="2">
        <v>715361</v>
      </c>
      <c r="D16" s="2">
        <v>1154491</v>
      </c>
      <c r="E16" s="7">
        <v>0.61742373193172506</v>
      </c>
    </row>
    <row r="17" spans="1:5" x14ac:dyDescent="0.35">
      <c r="A17" s="6" t="s">
        <v>2012</v>
      </c>
      <c r="B17" s="2">
        <v>1935679</v>
      </c>
      <c r="C17" s="2">
        <v>719237</v>
      </c>
      <c r="D17" s="2">
        <v>1216442</v>
      </c>
      <c r="E17" s="7">
        <v>0.62843167694643587</v>
      </c>
    </row>
    <row r="18" spans="1:5" x14ac:dyDescent="0.35">
      <c r="A18" s="5" t="s">
        <v>2013</v>
      </c>
      <c r="B18" s="2"/>
      <c r="C18" s="2"/>
      <c r="D18" s="2"/>
      <c r="E18" s="7"/>
    </row>
    <row r="19" spans="1:5" x14ac:dyDescent="0.35">
      <c r="A19" s="6" t="s">
        <v>2001</v>
      </c>
      <c r="B19" s="2">
        <v>1888729</v>
      </c>
      <c r="C19" s="2">
        <v>850805</v>
      </c>
      <c r="D19" s="2">
        <v>1037924</v>
      </c>
      <c r="E19" s="7">
        <v>0.54953569305072358</v>
      </c>
    </row>
    <row r="20" spans="1:5" x14ac:dyDescent="0.35">
      <c r="A20" s="6" t="s">
        <v>2002</v>
      </c>
      <c r="B20" s="2">
        <v>1805525</v>
      </c>
      <c r="C20" s="2">
        <v>835145</v>
      </c>
      <c r="D20" s="2">
        <v>970380</v>
      </c>
      <c r="E20" s="7">
        <v>0.53745032608244137</v>
      </c>
    </row>
    <row r="21" spans="1:5" x14ac:dyDescent="0.35">
      <c r="A21" s="6" t="s">
        <v>2003</v>
      </c>
      <c r="B21" s="2">
        <v>1876434</v>
      </c>
      <c r="C21" s="2">
        <v>794654</v>
      </c>
      <c r="D21" s="2">
        <v>1081780</v>
      </c>
      <c r="E21" s="7">
        <v>0.57650841969395139</v>
      </c>
    </row>
    <row r="22" spans="1:5" x14ac:dyDescent="0.35">
      <c r="A22" s="6" t="s">
        <v>2004</v>
      </c>
      <c r="B22" s="2">
        <v>1775706</v>
      </c>
      <c r="C22" s="2">
        <v>704044</v>
      </c>
      <c r="D22" s="2">
        <v>1071662</v>
      </c>
      <c r="E22" s="7">
        <v>0.60351319418867766</v>
      </c>
    </row>
    <row r="23" spans="1:5" x14ac:dyDescent="0.35">
      <c r="A23" s="6" t="s">
        <v>2005</v>
      </c>
      <c r="B23" s="2">
        <v>1825325</v>
      </c>
      <c r="C23" s="2">
        <v>763405</v>
      </c>
      <c r="D23" s="2">
        <v>1061920</v>
      </c>
      <c r="E23" s="7">
        <v>0.58177036966019746</v>
      </c>
    </row>
    <row r="24" spans="1:5" x14ac:dyDescent="0.35">
      <c r="A24" s="6" t="s">
        <v>2006</v>
      </c>
      <c r="B24" s="2">
        <v>1790005</v>
      </c>
      <c r="C24" s="2">
        <v>697871</v>
      </c>
      <c r="D24" s="2">
        <v>1092134</v>
      </c>
      <c r="E24" s="7">
        <v>0.61012902198597208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93E8FCDBAA1C42B175E801FE1B94CE" ma:contentTypeVersion="16" ma:contentTypeDescription="Create a new document." ma:contentTypeScope="" ma:versionID="2bdc432c5663572faf12dfcfeeee3431">
  <xsd:schema xmlns:xsd="http://www.w3.org/2001/XMLSchema" xmlns:xs="http://www.w3.org/2001/XMLSchema" xmlns:p="http://schemas.microsoft.com/office/2006/metadata/properties" xmlns:ns2="6fec255d-bcf1-4f29-910a-3fef2f022e50" xmlns:ns3="47c388c7-ce56-47ae-9688-ade1677d7a55" targetNamespace="http://schemas.microsoft.com/office/2006/metadata/properties" ma:root="true" ma:fieldsID="c70ca1c59d739c9de06d6da492e04a55" ns2:_="" ns3:_="">
    <xsd:import namespace="6fec255d-bcf1-4f29-910a-3fef2f022e50"/>
    <xsd:import namespace="47c388c7-ce56-47ae-9688-ade1677d7a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c255d-bcf1-4f29-910a-3fef2f022e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002aa79-1fc5-44a4-a23c-c8d49ef834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c388c7-ce56-47ae-9688-ade1677d7a5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ec7a0d2-4ee2-41f4-9f95-90260fc2fb42}" ma:internalName="TaxCatchAll" ma:showField="CatchAllData" ma:web="47c388c7-ce56-47ae-9688-ade1677d7a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ec255d-bcf1-4f29-910a-3fef2f022e50">
      <Terms xmlns="http://schemas.microsoft.com/office/infopath/2007/PartnerControls"/>
    </lcf76f155ced4ddcb4097134ff3c332f>
    <TaxCatchAll xmlns="47c388c7-ce56-47ae-9688-ade1677d7a55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9BA7E722-0747-4216-9DF0-0EF7F94D3C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c255d-bcf1-4f29-910a-3fef2f022e50"/>
    <ds:schemaRef ds:uri="47c388c7-ce56-47ae-9688-ade1677d7a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055D8F-B852-42B7-8FD4-2C5434FD22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5A500B-2E6C-472E-B940-2D0B9AB33321}">
  <ds:schemaRefs>
    <ds:schemaRef ds:uri="http://schemas.microsoft.com/office/2006/metadata/properties"/>
    <ds:schemaRef ds:uri="http://schemas.microsoft.com/office/infopath/2007/PartnerControls"/>
    <ds:schemaRef ds:uri="6fec255d-bcf1-4f29-910a-3fef2f022e50"/>
    <ds:schemaRef ds:uri="47c388c7-ce56-47ae-9688-ade1677d7a55"/>
  </ds:schemaRefs>
</ds:datastoreItem>
</file>

<file path=customXml/itemProps4.xml><?xml version="1.0" encoding="utf-8"?>
<ds:datastoreItem xmlns:ds="http://schemas.openxmlformats.org/officeDocument/2006/customXml" ds:itemID="{BEC46305-AC68-4CF5-9D72-E2BA33B0A6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35</vt:i4>
      </vt:variant>
      <vt:variant>
        <vt:lpstr>Intervalos Nomeados</vt:lpstr>
      </vt:variant>
      <vt:variant>
        <vt:i4>1</vt:i4>
      </vt:variant>
    </vt:vector>
  </HeadingPairs>
  <TitlesOfParts>
    <vt:vector size="36" baseType="lpstr">
      <vt:lpstr>Regional Antigo</vt:lpstr>
      <vt:lpstr>Dados antigos</vt:lpstr>
      <vt:lpstr>CIDADES</vt:lpstr>
      <vt:lpstr>MATERIAIS</vt:lpstr>
      <vt:lpstr>OUTROS</vt:lpstr>
      <vt:lpstr>ETAS E POCOS</vt:lpstr>
      <vt:lpstr>Correlacao_de_faturas</vt:lpstr>
      <vt:lpstr>METAS</vt:lpstr>
      <vt:lpstr>SURFRO mesclada</vt:lpstr>
      <vt:lpstr>SURPRA mesclada</vt:lpstr>
      <vt:lpstr>Santa margarida do sul</vt:lpstr>
      <vt:lpstr>Unistalda</vt:lpstr>
      <vt:lpstr>Nova esperança do sul</vt:lpstr>
      <vt:lpstr>Aceguá</vt:lpstr>
      <vt:lpstr>São vincente do sul</vt:lpstr>
      <vt:lpstr>São francisco de assis</vt:lpstr>
      <vt:lpstr>Santiago</vt:lpstr>
      <vt:lpstr>Santada da boa vista</vt:lpstr>
      <vt:lpstr>Rosário do sul</vt:lpstr>
      <vt:lpstr>Lavras do sul</vt:lpstr>
      <vt:lpstr>Jaguari</vt:lpstr>
      <vt:lpstr>Encruzilhada do sul</vt:lpstr>
      <vt:lpstr>Dom Pedrito</vt:lpstr>
      <vt:lpstr>Cacequi</vt:lpstr>
      <vt:lpstr>Bossoroca</vt:lpstr>
      <vt:lpstr>Caçapava do Sul</vt:lpstr>
      <vt:lpstr>Regional</vt:lpstr>
      <vt:lpstr>Barra do quaraí</vt:lpstr>
      <vt:lpstr>Maçambará</vt:lpstr>
      <vt:lpstr>São Borja</vt:lpstr>
      <vt:lpstr>Quaraí</vt:lpstr>
      <vt:lpstr>Manoel Viana</vt:lpstr>
      <vt:lpstr>Itaqui</vt:lpstr>
      <vt:lpstr>Alegrete</vt:lpstr>
      <vt:lpstr>Planilha1</vt:lpstr>
      <vt:lpstr>CIDADES!Area_de_impressao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Aline Guedes dos Anjos Peres</dc:creator>
  <cp:keywords/>
  <dc:description/>
  <cp:lastModifiedBy>Lauro Ezequiel de Lima Pinheiro</cp:lastModifiedBy>
  <cp:revision/>
  <dcterms:created xsi:type="dcterms:W3CDTF">2024-07-22T18:04:20Z</dcterms:created>
  <dcterms:modified xsi:type="dcterms:W3CDTF">2025-12-19T17:15:06Z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0x0101009293E8FCDBAA1C42B175E801FE1B94CE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